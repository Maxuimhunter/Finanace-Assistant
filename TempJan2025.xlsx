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nthonygathukia/Downloads/"/>
    </mc:Choice>
  </mc:AlternateContent>
  <xr:revisionPtr revIDLastSave="0" documentId="13_ncr:1_{8EDC07C4-5BFA-9D4F-90A1-8E8229B43766}" xr6:coauthVersionLast="47" xr6:coauthVersionMax="47" xr10:uidLastSave="{00000000-0000-0000-0000-000000000000}"/>
  <bookViews>
    <workbookView xWindow="0" yWindow="500" windowWidth="28800" windowHeight="17500" activeTab="2" xr2:uid="{00000000-000D-0000-FFFF-FFFF00000000}"/>
  </bookViews>
  <sheets>
    <sheet name="Welcome Guide" sheetId="1" r:id="rId1"/>
    <sheet name="Dashboard" sheetId="3" r:id="rId2"/>
    <sheet name="Charts" sheetId="9" r:id="rId3"/>
    <sheet name="Income Tracker" sheetId="4" r:id="rId4"/>
    <sheet name="Expense Tracker" sheetId="5" r:id="rId5"/>
    <sheet name="Monthly Purchases" sheetId="2" r:id="rId6"/>
    <sheet name="Savings Tracker" sheetId="6" r:id="rId7"/>
    <sheet name="Weight Tracker" sheetId="7" r:id="rId8"/>
    <sheet name="AI Insights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1" i="9" l="1"/>
  <c r="D60" i="9"/>
  <c r="D59" i="9"/>
  <c r="D58" i="9"/>
  <c r="D57" i="9"/>
  <c r="D56" i="9"/>
  <c r="E4" i="6"/>
  <c r="C32" i="3"/>
  <c r="B32" i="3"/>
  <c r="E31" i="3"/>
  <c r="D31" i="3"/>
  <c r="E30" i="3"/>
  <c r="D30" i="3"/>
  <c r="E29" i="3"/>
  <c r="D29" i="3"/>
  <c r="E28" i="3"/>
  <c r="D28" i="3"/>
  <c r="E27" i="3"/>
  <c r="D27" i="3"/>
  <c r="E26" i="3"/>
  <c r="D26" i="3"/>
  <c r="D8" i="3"/>
  <c r="C8" i="3"/>
  <c r="B8" i="3"/>
  <c r="E4" i="3" s="1"/>
  <c r="E7" i="3"/>
  <c r="D7" i="3"/>
  <c r="D6" i="3"/>
  <c r="D5" i="3"/>
  <c r="D4" i="3"/>
  <c r="D32" i="3" s="1"/>
  <c r="E5" i="3" l="1"/>
  <c r="E32" i="3" s="1"/>
  <c r="E8" i="3"/>
  <c r="E6" i="3"/>
</calcChain>
</file>

<file path=xl/sharedStrings.xml><?xml version="1.0" encoding="utf-8"?>
<sst xmlns="http://schemas.openxmlformats.org/spreadsheetml/2006/main" count="178" uniqueCount="132">
  <si>
    <t>🚀 Welcome to Your All-in-One Life Dashboard</t>
  </si>
  <si>
    <t>Track finances, build habits, and organize your life with ease.</t>
  </si>
  <si>
    <t>Core Features</t>
  </si>
  <si>
    <t>📊 Dashboard</t>
  </si>
  <si>
    <t>A high-level overview of your financial health and key life metrics.</t>
  </si>
  <si>
    <t>💰 Financial Trackers</t>
  </si>
  <si>
    <t>Log income, expenses, savings, and investments in dedicated tabs.</t>
  </si>
  <si>
    <t>💚 Health &amp; Wellness</t>
  </si>
  <si>
    <t>Monitor weight, build habits, and focus on self-care.</t>
  </si>
  <si>
    <t>📅 Life Organization</t>
  </si>
  <si>
    <t>Plan meals, manage cleaning schedules, and organize your time.</t>
  </si>
  <si>
    <t>🤖 AI Insights</t>
  </si>
  <si>
    <t>Upload your sheet to get personalized financial recommendations.</t>
  </si>
  <si>
    <t>How to Get Started</t>
  </si>
  <si>
    <t>1.</t>
  </si>
  <si>
    <t>Explore each tab to see what's available.</t>
  </si>
  <si>
    <t>2.</t>
  </si>
  <si>
    <t>Fill in your data in the respective trackers (income, expenses, etc.).</t>
  </si>
  <si>
    <t>3.</t>
  </si>
  <si>
    <t>The 'Dashboard' and 'Charts' tabs will update automatically.</t>
  </si>
  <si>
    <t>4.</t>
  </si>
  <si>
    <t>For AI analysis, save the file and upload it in the web app.</t>
  </si>
  <si>
    <t>Happy tracking! ✨</t>
  </si>
  <si>
    <t>📋 Monthly Purchases</t>
  </si>
  <si>
    <t>Date</t>
  </si>
  <si>
    <t>Item</t>
  </si>
  <si>
    <t>Amount</t>
  </si>
  <si>
    <t>Type</t>
  </si>
  <si>
    <t>Category</t>
  </si>
  <si>
    <t>Notes</t>
  </si>
  <si>
    <t>Netflix</t>
  </si>
  <si>
    <t>Subscription</t>
  </si>
  <si>
    <t>Entertainment</t>
  </si>
  <si>
    <t>Monthly plan</t>
  </si>
  <si>
    <t>Gym Membership</t>
  </si>
  <si>
    <t>Health</t>
  </si>
  <si>
    <t>Monthly membership</t>
  </si>
  <si>
    <t>Office Chair</t>
  </si>
  <si>
    <t>One-Time</t>
  </si>
  <si>
    <t>Furniture</t>
  </si>
  <si>
    <t>Ergonomic chair</t>
  </si>
  <si>
    <t>Total</t>
  </si>
  <si>
    <t>📊 Jan - Financial Overview</t>
  </si>
  <si>
    <t>Planned</t>
  </si>
  <si>
    <t>Actual</t>
  </si>
  <si>
    <t>Difference</t>
  </si>
  <si>
    <t>% of Budget</t>
  </si>
  <si>
    <t>Income</t>
  </si>
  <si>
    <t>Expenses</t>
  </si>
  <si>
    <t>Savings</t>
  </si>
  <si>
    <t>Investments</t>
  </si>
  <si>
    <t>Target</t>
  </si>
  <si>
    <t>Variance</t>
  </si>
  <si>
    <t>% of Total</t>
  </si>
  <si>
    <t>Housing</t>
  </si>
  <si>
    <t>Food</t>
  </si>
  <si>
    <t>Transportation</t>
  </si>
  <si>
    <t>Utilities</t>
  </si>
  <si>
    <t>Others</t>
  </si>
  <si>
    <t>Monthly Financial Trend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</si>
  <si>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</si>
  <si>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</si>
  <si>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</si>
  <si>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</si>
  <si>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</si>
  <si>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</si>
  <si>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</si>
  <si>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</si>
  <si>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</si>
  <si>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</si>
  <si>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</si>
  <si>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</si>
  <si>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</si>
  <si>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Income Tracker</t>
  </si>
  <si>
    <t>Source</t>
  </si>
  <si>
    <t>Salary</t>
  </si>
  <si>
    <t>Primary Income</t>
  </si>
  <si>
    <t>Monthly salary</t>
  </si>
  <si>
    <t>Freelance</t>
  </si>
  <si>
    <t>Side Hustle</t>
  </si>
  <si>
    <t>Project X</t>
  </si>
  <si>
    <t>Expense Tracker</t>
  </si>
  <si>
    <t>Description</t>
  </si>
  <si>
    <t>Payment Method</t>
  </si>
  <si>
    <t>Groceries</t>
  </si>
  <si>
    <t>Credit Card</t>
  </si>
  <si>
    <t>Weekly shopping</t>
  </si>
  <si>
    <t>Electricity</t>
  </si>
  <si>
    <t>Direct Debit</t>
  </si>
  <si>
    <t>Monthly bill</t>
  </si>
  <si>
    <t>Savings Tracker</t>
  </si>
  <si>
    <t>Goal</t>
  </si>
  <si>
    <t>Target Amount</t>
  </si>
  <si>
    <t>Current Amount</t>
  </si>
  <si>
    <t>% Complete</t>
  </si>
  <si>
    <t>Emergency Fund</t>
  </si>
  <si>
    <t>Weight Tracker</t>
  </si>
  <si>
    <t>Weight (kg)</t>
  </si>
  <si>
    <t>Body Fat %</t>
  </si>
  <si>
    <t>Started new diet</t>
  </si>
  <si>
    <t>Feeling good!</t>
  </si>
  <si>
    <t>🤖 AI-Powered Financial Insights</t>
  </si>
  <si>
    <t>This section provides AI-generated insights based on your data:</t>
  </si>
  <si>
    <t>🔍 To get started:</t>
  </si>
  <si>
    <t>1. Fill in your financial data in the respective sheets</t>
  </si>
  <si>
    <t>2. Click the 'Generate AI Insights' button in the app</t>
  </si>
  <si>
    <t>3. Review personalized recommendations here</t>
  </si>
  <si>
    <t>The AI will analyze your spending patterns, saving habits, and overall financial health to provide actionable advice.</t>
  </si>
  <si>
    <t>💡 Tip: The more data you provide, the more accurate the insights will be!</t>
  </si>
  <si>
    <t>📊 Dec - Financial Dashboard</t>
  </si>
  <si>
    <t>Interactive Financial Insights &amp; Analytics</t>
  </si>
  <si>
    <t>Monthly Income</t>
  </si>
  <si>
    <t>📈</t>
  </si>
  <si>
    <t>Monthly Expenses</t>
  </si>
  <si>
    <t>💹</t>
  </si>
  <si>
    <t>Monthly Savings</t>
  </si>
  <si>
    <t>Savings Rate</t>
  </si>
  <si>
    <t>$10,300.00</t>
  </si>
  <si>
    <t>$7,400.00</t>
  </si>
  <si>
    <t>$2,900.00</t>
  </si>
  <si>
    <t>28.2%</t>
  </si>
  <si>
    <t>Weekly Financial Trends</t>
  </si>
  <si>
    <t>Week</t>
  </si>
  <si>
    <t>Week 1</t>
  </si>
  <si>
    <t>Week 2</t>
  </si>
  <si>
    <t>Week 3</t>
  </si>
  <si>
    <t>Week 4</t>
  </si>
  <si>
    <t>Expense Breakdown</t>
  </si>
  <si>
    <t>Budget vs Actual Spending</t>
  </si>
  <si>
    <t>Budget</t>
  </si>
  <si>
    <t>Transport</t>
  </si>
  <si>
    <t>Generated on 2025-12-29 20:04 • Life &amp; Budget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</si>
</sst>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"/>
  </numFmts>
  <fonts count="25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6F42C1"/>
      <name val="Calibri"/>
      <family val="2"/>
    </font>
    <font>
      <sz val="11"/>
      <color rgb="FFFFFFFF"/>
      <name val="Calibri"/>
      <family val="2"/>
    </font>
    <font>
      <b/>
      <sz val="12"/>
      <color rgb="FF6F42C1"/>
      <name val="Calibri"/>
      <family val="2"/>
    </font>
    <font>
      <b/>
      <sz val="24"/>
      <color rgb="FFFFFFFF"/>
      <name val="Calibri"/>
      <family val="2"/>
    </font>
    <font>
      <i/>
      <sz val="14"/>
      <color rgb="FF595959"/>
      <name val="Calibri"/>
      <family val="2"/>
    </font>
    <font>
      <b/>
      <sz val="16"/>
      <color rgb="FF6F42C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i/>
      <sz val="12"/>
      <color rgb="FF595959"/>
      <name val="Calibri"/>
      <family val="2"/>
    </font>
    <font>
      <b/>
      <sz val="20"/>
      <color rgb="FFFFFFFF"/>
      <name val="Calibri"/>
      <family val="2"/>
    </font>
    <font>
      <i/>
      <sz val="12"/>
      <color rgb="FF6F42C1"/>
      <name val="Calibri"/>
      <family val="2"/>
    </font>
    <font>
      <b/>
      <sz val="11"/>
      <color rgb="FF4CAF50"/>
      <name val="Calibri"/>
      <family val="2"/>
    </font>
    <font>
      <b/>
      <sz val="14"/>
      <color rgb="FF4CAF50"/>
      <name val="Calibri"/>
      <family val="2"/>
    </font>
    <font>
      <b/>
      <sz val="11"/>
      <color rgb="FFF44336"/>
      <name val="Calibri"/>
      <family val="2"/>
    </font>
    <font>
      <b/>
      <sz val="14"/>
      <color rgb="FFF44336"/>
      <name val="Calibri"/>
      <family val="2"/>
    </font>
    <font>
      <b/>
      <sz val="11"/>
      <color rgb="FF2196F3"/>
      <name val="Calibri"/>
      <family val="2"/>
    </font>
    <font>
      <b/>
      <sz val="14"/>
      <color rgb="FF2196F3"/>
      <name val="Calibri"/>
      <family val="2"/>
    </font>
    <font>
      <b/>
      <sz val="11"/>
      <color rgb="FF9C27B0"/>
      <name val="Calibri"/>
      <family val="2"/>
    </font>
    <font>
      <b/>
      <sz val="14"/>
      <color rgb="FF9C27B0"/>
      <name val="Calibri"/>
      <family val="2"/>
    </font>
    <font>
      <b/>
      <sz val="14"/>
      <color rgb="FFFFFFFF"/>
      <name val="Calibri"/>
      <family val="2"/>
    </font>
    <font>
      <i/>
      <sz val="9"/>
      <color rgb="FF999999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6F42C1"/>
        <bgColor rgb="FF6F42C1"/>
      </patternFill>
    </fill>
    <fill>
      <patternFill patternType="solid">
        <fgColor rgb="FFD8BFD8"/>
        <bgColor rgb="FFD8BFD8"/>
      </patternFill>
    </fill>
    <fill>
      <patternFill patternType="solid">
        <fgColor rgb="FFB0E0E6"/>
        <bgColor rgb="FFB0E0E6"/>
      </patternFill>
    </fill>
    <fill>
      <patternFill patternType="solid">
        <fgColor rgb="FFFFB6C1"/>
        <bgColor rgb="FFFFB6C1"/>
      </patternFill>
    </fill>
    <fill>
      <patternFill patternType="solid">
        <fgColor rgb="FF98FB98"/>
        <bgColor rgb="FF98FB98"/>
      </patternFill>
    </fill>
    <fill>
      <patternFill patternType="solid">
        <fgColor rgb="FFFFDAB9"/>
        <bgColor rgb="FFFFDAB9"/>
      </patternFill>
    </fill>
    <fill>
      <patternFill patternType="solid">
        <fgColor rgb="FFF2E6FF"/>
        <bgColor rgb="FFF2E6FF"/>
      </patternFill>
    </fill>
    <fill>
      <patternFill patternType="solid">
        <fgColor rgb="FFAF5020"/>
        <bgColor rgb="FFAF5020"/>
      </patternFill>
    </fill>
    <fill>
      <patternFill patternType="solid">
        <fgColor rgb="FFAF5040"/>
        <bgColor rgb="FFAF5040"/>
      </patternFill>
    </fill>
    <fill>
      <patternFill patternType="solid">
        <fgColor rgb="FF433620"/>
        <bgColor rgb="FF433620"/>
      </patternFill>
    </fill>
    <fill>
      <patternFill patternType="solid">
        <fgColor rgb="FF433640"/>
        <bgColor rgb="FF433640"/>
      </patternFill>
    </fill>
    <fill>
      <patternFill patternType="solid">
        <fgColor rgb="FF96F320"/>
        <bgColor rgb="FF96F320"/>
      </patternFill>
    </fill>
    <fill>
      <patternFill patternType="solid">
        <fgColor rgb="FF96F340"/>
        <bgColor rgb="FF96F340"/>
      </patternFill>
    </fill>
    <fill>
      <patternFill patternType="solid">
        <fgColor rgb="FF27B020"/>
        <bgColor rgb="FF27B020"/>
      </patternFill>
    </fill>
    <fill>
      <patternFill patternType="solid">
        <fgColor rgb="FF27B040"/>
        <bgColor rgb="FF27B04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0" fillId="0" borderId="0" xfId="0" applyFont="1"/>
    <xf numFmtId="0" fontId="11" fillId="0" borderId="0" xfId="0" applyFont="1"/>
    <xf numFmtId="0" fontId="2" fillId="3" borderId="1" xfId="0" applyFont="1" applyFill="1" applyBorder="1"/>
    <xf numFmtId="164" fontId="0" fillId="0" borderId="0" xfId="0" applyNumberFormat="1"/>
    <xf numFmtId="2" fontId="0" fillId="0" borderId="0" xfId="0" applyNumberFormat="1"/>
    <xf numFmtId="0" fontId="3" fillId="0" borderId="0" xfId="0" applyFont="1"/>
    <xf numFmtId="2" fontId="3" fillId="0" borderId="0" xfId="0" applyNumberFormat="1" applyFont="1"/>
    <xf numFmtId="0" fontId="3" fillId="8" borderId="0" xfId="0" applyFont="1" applyFill="1"/>
    <xf numFmtId="0" fontId="5" fillId="2" borderId="0" xfId="0" applyFont="1" applyFill="1"/>
    <xf numFmtId="0" fontId="6" fillId="0" borderId="0" xfId="0" applyFont="1"/>
    <xf numFmtId="0" fontId="2" fillId="2" borderId="0" xfId="0" applyFont="1" applyFill="1"/>
    <xf numFmtId="165" fontId="0" fillId="0" borderId="0" xfId="0" applyNumberFormat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/>
    <xf numFmtId="0" fontId="9" fillId="0" borderId="0" xfId="0" applyFont="1" applyAlignment="1">
      <alignment horizontal="left"/>
    </xf>
    <xf numFmtId="0" fontId="7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0" borderId="0" xfId="0" applyFont="1"/>
    <xf numFmtId="0" fontId="8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8" fillId="11" borderId="0" xfId="0" applyFont="1" applyFill="1" applyAlignment="1">
      <alignment horizontal="center"/>
    </xf>
    <xf numFmtId="0" fontId="13" fillId="2" borderId="0" xfId="0" applyFont="1" applyFill="1" applyAlignment="1">
      <alignment horizontal="center" vertical="center"/>
    </xf>
    <xf numFmtId="0" fontId="0" fillId="11" borderId="0" xfId="0" applyFill="1"/>
    <xf numFmtId="0" fontId="0" fillId="9" borderId="0" xfId="0" applyFill="1"/>
    <xf numFmtId="0" fontId="0" fillId="13" borderId="0" xfId="0" applyFill="1"/>
    <xf numFmtId="0" fontId="21" fillId="16" borderId="0" xfId="0" applyFont="1" applyFill="1"/>
    <xf numFmtId="0" fontId="22" fillId="15" borderId="0" xfId="0" applyFont="1" applyFill="1" applyAlignment="1">
      <alignment horizontal="center"/>
    </xf>
    <xf numFmtId="0" fontId="23" fillId="2" borderId="0" xfId="0" applyFont="1" applyFill="1" applyAlignment="1">
      <alignment horizontal="center" vertical="center"/>
    </xf>
    <xf numFmtId="0" fontId="24" fillId="0" borderId="0" xfId="0" applyFont="1" applyAlignment="1">
      <alignment horizontal="right"/>
    </xf>
    <xf numFmtId="0" fontId="17" fillId="12" borderId="0" xfId="0" applyFont="1" applyFill="1"/>
    <xf numFmtId="0" fontId="15" fillId="10" borderId="0" xfId="0" applyFont="1" applyFill="1"/>
    <xf numFmtId="0" fontId="19" fillId="14" borderId="0" xfId="0" applyFont="1" applyFill="1"/>
    <xf numFmtId="0" fontId="0" fillId="15" borderId="0" xfId="0" applyFill="1"/>
    <xf numFmtId="0" fontId="20" fillId="13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6" fillId="9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5"/>
    </mc:Choice>
    <mc:Fallback>
      <c:style val="15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Weekly Financial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Charts!$B$12</c:f>
              <c:strCache>
                <c:ptCount val="1"/>
                <c:pt idx="0">
                  <c:v>Income</c:v>
                </c:pt>
              </c:strCache>
            </c:strRef>
          </c:tx>
          <c:spPr>
            <a:ln w="30000">
              <a:solidFill>
                <a:srgbClr val="4CAF50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Charts!$A$13:$A$16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Charts!$B$13:$B$16</c:f>
              <c:numCache>
                <c:formatCode>General</c:formatCode>
                <c:ptCount val="4"/>
                <c:pt idx="0">
                  <c:v>2500</c:v>
                </c:pt>
                <c:pt idx="1">
                  <c:v>2800</c:v>
                </c:pt>
                <c:pt idx="2">
                  <c:v>2400</c:v>
                </c:pt>
                <c:pt idx="3">
                  <c:v>2600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BE-1246-9165-06ED96C502B0}"/>
            </c:ext>
          </c:extLst>
        </c:ser>
        <c:ser>
          <c:idx val="1"/>
          <c:order val="1"/>
          <c:tx>
            <c:strRef>
              <c:f>Charts!$C$12</c:f>
              <c:strCache>
                <c:ptCount val="1"/>
                <c:pt idx="0">
                  <c:v>Expenses</c:v>
                </c:pt>
              </c:strCache>
            </c:strRef>
          </c:tx>
          <c:spPr>
            <a:ln w="30000">
              <a:solidFill>
                <a:srgbClr val="F44336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Charts!$A$13:$A$16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Charts!$C$13:$C$16</c:f>
              <c:numCache>
                <c:formatCode>General</c:formatCode>
                <c:ptCount val="4"/>
                <c:pt idx="0">
                  <c:v>1800</c:v>
                </c:pt>
                <c:pt idx="1">
                  <c:v>2000</c:v>
                </c:pt>
                <c:pt idx="2">
                  <c:v>1700</c:v>
                </c:pt>
                <c:pt idx="3">
                  <c:v>1900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BE-1246-9165-06ED96C502B0}"/>
            </c:ext>
          </c:extLst>
        </c:ser>
        <c:ser>
          <c:idx val="2"/>
          <c:order val="2"/>
          <c:tx>
            <c:strRef>
              <c:f>Charts!$D$12</c:f>
              <c:strCache>
                <c:ptCount val="1"/>
                <c:pt idx="0">
                  <c:v>Savings</c:v>
                </c:pt>
              </c:strCache>
            </c:strRef>
          </c:tx>
          <c:spPr>
            <a:ln w="30000">
              <a:solidFill>
                <a:srgbClr val="2196F3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Charts!$A$13:$A$16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Charts!$D$13:$D$16</c:f>
              <c:numCache>
                <c:formatCode>General</c:formatCode>
                <c:ptCount val="4"/>
                <c:pt idx="0">
                  <c:v>700</c:v>
                </c:pt>
                <c:pt idx="1">
                  <c:v>800</c:v>
                </c:pt>
                <c:pt idx="2">
                  <c:v>700</c:v>
                </c:pt>
                <c:pt idx="3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BE-1246-9165-06ED96C50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Amount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Monthly Expenses by Category</a:t>
            </a:r>
          </a:p>
        </c:rich>
      </c:tx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Charts!$B$32</c:f>
              <c:strCache>
                <c:ptCount val="1"/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Charts!$A$33:$A$38</c:f>
              <c:strCache>
                <c:ptCount val="6"/>
                <c:pt idx="0">
                  <c:v>Housing</c:v>
                </c:pt>
                <c:pt idx="1">
                  <c:v>Food</c:v>
                </c:pt>
                <c:pt idx="2">
                  <c:v>Transportation</c:v>
                </c:pt>
                <c:pt idx="3">
                  <c:v>Utilities</c:v>
                </c:pt>
                <c:pt idx="4">
                  <c:v>Entertainment</c:v>
                </c:pt>
                <c:pt idx="5">
                  <c:v>Others</c:v>
                </c:pt>
              </c:strCache>
            </c:strRef>
          </c:cat>
          <c:val>
            <c:numRef>
              <c:f>Charts!$B$33:$B$38</c:f>
              <c:numCache>
                <c:formatCode>General</c:formatCode>
                <c:ptCount val="6"/>
                <c:pt idx="0">
                  <c:v>1200</c:v>
                </c:pt>
                <c:pt idx="1">
                  <c:v>800</c:v>
                </c:pt>
                <c:pt idx="2">
                  <c:v>400</c:v>
                </c:pt>
                <c:pt idx="3">
                  <c:v>300</c:v>
                </c:pt>
                <c:pt idx="4">
                  <c:v>300</c:v>
                </c:pt>
                <c:pt idx="5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92-E040-8823-CA54F25C0412}"/>
            </c:ext>
          </c:extLst>
        </c:ser>
        <c:dLbls>
          <c:showLegendKey val="0"/>
          <c:showVal val="1"/>
          <c:showCatName val="1"/>
          <c:showSerName val="0"/>
          <c:showPercent val="1"/>
          <c:showBubbleSize val="0"/>
          <c:showLeaderLines val="0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Budget vs Actual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Charts!$B$55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4CAF50"/>
            </a:solidFill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Charts!$A$56:$A$60</c:f>
              <c:strCache>
                <c:ptCount val="5"/>
                <c:pt idx="0">
                  <c:v>Housing</c:v>
                </c:pt>
                <c:pt idx="1">
                  <c:v>Food</c:v>
                </c:pt>
                <c:pt idx="2">
                  <c:v>Transport</c:v>
                </c:pt>
                <c:pt idx="3">
                  <c:v>Utilities</c:v>
                </c:pt>
                <c:pt idx="4">
                  <c:v>Entertainment</c:v>
                </c:pt>
              </c:strCache>
            </c:strRef>
          </c:cat>
          <c:val>
            <c:numRef>
              <c:f>Charts!$B$56:$B$60</c:f>
              <c:numCache>
                <c:formatCode>General</c:formatCode>
                <c:ptCount val="5"/>
                <c:pt idx="0">
                  <c:v>1100</c:v>
                </c:pt>
                <c:pt idx="1">
                  <c:v>700</c:v>
                </c:pt>
                <c:pt idx="2">
                  <c:v>450</c:v>
                </c:pt>
                <c:pt idx="3">
                  <c:v>350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E2-5D4A-AB51-81421540910A}"/>
            </c:ext>
          </c:extLst>
        </c:ser>
        <c:ser>
          <c:idx val="1"/>
          <c:order val="1"/>
          <c:tx>
            <c:strRef>
              <c:f>Charts!$C$55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2196F3"/>
            </a:solidFill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Charts!$A$56:$A$60</c:f>
              <c:strCache>
                <c:ptCount val="5"/>
                <c:pt idx="0">
                  <c:v>Housing</c:v>
                </c:pt>
                <c:pt idx="1">
                  <c:v>Food</c:v>
                </c:pt>
                <c:pt idx="2">
                  <c:v>Transport</c:v>
                </c:pt>
                <c:pt idx="3">
                  <c:v>Utilities</c:v>
                </c:pt>
                <c:pt idx="4">
                  <c:v>Entertainment</c:v>
                </c:pt>
              </c:strCache>
            </c:strRef>
          </c:cat>
          <c:val>
            <c:numRef>
              <c:f>Charts!$C$56:$C$60</c:f>
              <c:numCache>
                <c:formatCode>General</c:formatCode>
                <c:ptCount val="5"/>
                <c:pt idx="0">
                  <c:v>1200</c:v>
                </c:pt>
                <c:pt idx="1">
                  <c:v>800</c:v>
                </c:pt>
                <c:pt idx="2">
                  <c:v>400</c:v>
                </c:pt>
                <c:pt idx="3">
                  <c:v>300</c:v>
                </c:pt>
                <c:pt idx="4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E2-5D4A-AB51-8142154091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Amount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Income Tracker - Amount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Tracker'!$C$3</c:f>
              <c:strCache>
                <c:ptCount val="1"/>
                <c:pt idx="0">
                  <c:v>Amount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'Income Tracker'!$A$4:$A$5</c:f>
              <c:numCache>
                <c:formatCode>yyyy\-mm\-dd</c:formatCode>
                <c:ptCount val="2"/>
                <c:pt idx="0">
                  <c:v>46020</c:v>
                </c:pt>
                <c:pt idx="1">
                  <c:v>46006</c:v>
                </c:pt>
              </c:numCache>
            </c:numRef>
          </c:cat>
          <c:val>
            <c:numRef>
              <c:f>'Income Tracker'!$C$4:$C$5</c:f>
              <c:numCache>
                <c:formatCode>0.00</c:formatCode>
                <c:ptCount val="2"/>
                <c:pt idx="0">
                  <c:v>3000</c:v>
                </c:pt>
                <c:pt idx="1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91-5D4E-8C4A-23F72D4F3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Items</a:t>
                </a:r>
              </a:p>
            </c:rich>
          </c:tx>
          <c:overlay val="0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Amount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Expense Tracker - Amount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Tracker'!$C$3</c:f>
              <c:strCache>
                <c:ptCount val="1"/>
                <c:pt idx="0">
                  <c:v>Amount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'Expense Tracker'!$A$4:$A$5</c:f>
              <c:numCache>
                <c:formatCode>yyyy\-mm\-dd</c:formatCode>
                <c:ptCount val="2"/>
                <c:pt idx="0">
                  <c:v>46020</c:v>
                </c:pt>
                <c:pt idx="1">
                  <c:v>46020</c:v>
                </c:pt>
              </c:numCache>
            </c:numRef>
          </c:cat>
          <c:val>
            <c:numRef>
              <c:f>'Expense Tracker'!$C$4:$C$5</c:f>
              <c:numCache>
                <c:formatCode>0.00</c:formatCode>
                <c:ptCount val="2"/>
                <c:pt idx="0">
                  <c:v>150</c:v>
                </c:pt>
                <c:pt idx="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D1-9547-ACC3-9340E8D1A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Items</a:t>
                </a:r>
              </a:p>
            </c:rich>
          </c:tx>
          <c:overlay val="0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Amount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Savings Tracker - Target Amount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'Savings Tracker'!$C$3</c:f>
              <c:strCache>
                <c:ptCount val="1"/>
                <c:pt idx="0">
                  <c:v>Target Amount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'Savings Tracker'!$A$4</c:f>
              <c:numCache>
                <c:formatCode>yyyy\-mm\-dd</c:formatCode>
                <c:ptCount val="1"/>
                <c:pt idx="0">
                  <c:v>46020</c:v>
                </c:pt>
              </c:numCache>
            </c:numRef>
          </c:cat>
          <c:val>
            <c:numRef>
              <c:f>'Savings Tracker'!$C$4</c:f>
              <c:numCache>
                <c:formatCode>0.00</c:formatCode>
                <c:ptCount val="1"/>
                <c:pt idx="0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D-5E46-8E6B-BF2086E0F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Items</a:t>
                </a:r>
              </a:p>
            </c:rich>
          </c:tx>
          <c:overlay val="0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Amount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Savings Tracker - Current Amount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'Savings Tracker'!$D$3</c:f>
              <c:strCache>
                <c:ptCount val="1"/>
                <c:pt idx="0">
                  <c:v>Current Amount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'Savings Tracker'!$A$4</c:f>
              <c:numCache>
                <c:formatCode>yyyy\-mm\-dd</c:formatCode>
                <c:ptCount val="1"/>
                <c:pt idx="0">
                  <c:v>46020</c:v>
                </c:pt>
              </c:numCache>
            </c:numRef>
          </c:cat>
          <c:val>
            <c:numRef>
              <c:f>'Savings Tracker'!$D$4</c:f>
              <c:numCache>
                <c:formatCode>0.00</c:formatCode>
                <c:ptCount val="1"/>
                <c:pt idx="0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A-CE45-96D4-11A8F2151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Items</a:t>
                </a:r>
              </a:p>
            </c:rich>
          </c:tx>
          <c:overlay val="0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Amount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Weight Tracker - Weight (kg)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'Weight Tracker'!$B$3</c:f>
              <c:strCache>
                <c:ptCount val="1"/>
                <c:pt idx="0">
                  <c:v>Weight (kg)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'Weight Tracker'!$A$4:$A$5</c:f>
              <c:numCache>
                <c:formatCode>yyyy\-mm\-dd</c:formatCode>
                <c:ptCount val="2"/>
                <c:pt idx="0">
                  <c:v>46013</c:v>
                </c:pt>
                <c:pt idx="1">
                  <c:v>46020</c:v>
                </c:pt>
              </c:numCache>
            </c:numRef>
          </c:cat>
          <c:val>
            <c:numRef>
              <c:f>'Weight Tracker'!$B$4:$B$5</c:f>
              <c:numCache>
                <c:formatCode>0.00</c:formatCode>
                <c:ptCount val="2"/>
                <c:pt idx="0">
                  <c:v>75.5</c:v>
                </c:pt>
                <c:pt idx="1">
                  <c:v>74.8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0-A34B-84E5-1C376D790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Items</a:t>
                </a:r>
              </a:p>
            </c:rich>
          </c:tx>
          <c:overlay val="0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Amount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Weight Tracker - Body Fat %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'Weight Tracker'!$C$3</c:f>
              <c:strCache>
                <c:ptCount val="1"/>
                <c:pt idx="0">
                  <c:v>Body Fat %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'Weight Tracker'!$A$4:$A$5</c:f>
              <c:numCache>
                <c:formatCode>yyyy\-mm\-dd</c:formatCode>
                <c:ptCount val="2"/>
                <c:pt idx="0">
                  <c:v>46013</c:v>
                </c:pt>
                <c:pt idx="1">
                  <c:v>46020</c:v>
                </c:pt>
              </c:numCache>
            </c:numRef>
          </c:cat>
          <c:val>
            <c:numRef>
              <c:f>'Weight Tracker'!$C$4:$C$5</c:f>
              <c:numCache>
                <c:formatCode>0.00</c:formatCode>
                <c:ptCount val="2"/>
                <c:pt idx="0">
                  <c:v>22</c:v>
                </c:pt>
                <c:pt idx="1">
                  <c:v>21.5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B6-5948-A29F-07CAC396B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Items</a:t>
                </a:r>
              </a:p>
            </c:rich>
          </c:tx>
          <c:overlay val="0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Amount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0</xdr:rowOff>
    </xdr:from>
    <xdr:ext cx="90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419100</xdr:colOff>
      <xdr:row>22</xdr:row>
      <xdr:rowOff>165100</xdr:rowOff>
    </xdr:from>
    <xdr:ext cx="6527800" cy="35585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63</xdr:row>
      <xdr:rowOff>0</xdr:rowOff>
    </xdr:from>
    <xdr:ext cx="9000000" cy="54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6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6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7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7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F42C1"/>
  </sheetPr>
  <dimension ref="A1:J21"/>
  <sheetViews>
    <sheetView showGridLines="0" workbookViewId="0">
      <selection sqref="A1:J1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60" customWidth="1"/>
    <col min="4" max="4" width="4" customWidth="1"/>
  </cols>
  <sheetData>
    <row r="1" spans="1:10" ht="30" customHeight="1" x14ac:dyDescent="0.2">
      <c r="A1" s="21"/>
      <c r="B1" s="21"/>
      <c r="C1" s="21"/>
      <c r="D1" s="21"/>
      <c r="E1" s="21"/>
      <c r="F1" s="21"/>
      <c r="G1" s="21"/>
      <c r="H1" s="21"/>
      <c r="I1" s="21"/>
      <c r="J1" s="21"/>
    </row>
    <row r="2" spans="1:10" ht="40" customHeight="1" x14ac:dyDescent="0.2">
      <c r="B2" s="23" t="s">
        <v>0</v>
      </c>
      <c r="C2" s="21"/>
    </row>
    <row r="4" spans="1:10" ht="25" customHeight="1" x14ac:dyDescent="0.25">
      <c r="B4" s="26" t="s">
        <v>1</v>
      </c>
      <c r="C4" s="21"/>
    </row>
    <row r="6" spans="1:10" ht="30" customHeight="1" x14ac:dyDescent="0.25">
      <c r="B6" s="22" t="s">
        <v>2</v>
      </c>
      <c r="C6" s="21"/>
    </row>
    <row r="7" spans="1:10" ht="25" customHeight="1" x14ac:dyDescent="0.2">
      <c r="B7" s="1" t="s">
        <v>3</v>
      </c>
      <c r="C7" s="2" t="s">
        <v>4</v>
      </c>
    </row>
    <row r="8" spans="1:10" ht="25" customHeight="1" x14ac:dyDescent="0.2">
      <c r="B8" s="1" t="s">
        <v>5</v>
      </c>
      <c r="C8" s="2" t="s">
        <v>6</v>
      </c>
    </row>
    <row r="9" spans="1:10" ht="25" customHeight="1" x14ac:dyDescent="0.2">
      <c r="B9" s="1" t="s">
        <v>7</v>
      </c>
      <c r="C9" s="2" t="s">
        <v>8</v>
      </c>
    </row>
    <row r="10" spans="1:10" ht="25" customHeight="1" x14ac:dyDescent="0.2">
      <c r="B10" s="1" t="s">
        <v>9</v>
      </c>
      <c r="C10" s="2" t="s">
        <v>10</v>
      </c>
    </row>
    <row r="11" spans="1:10" ht="25" customHeight="1" x14ac:dyDescent="0.2">
      <c r="B11" s="1" t="s">
        <v>11</v>
      </c>
      <c r="C11" s="2" t="s">
        <v>12</v>
      </c>
    </row>
    <row r="14" spans="1:10" ht="30" customHeight="1" x14ac:dyDescent="0.25">
      <c r="B14" s="25" t="s">
        <v>13</v>
      </c>
      <c r="C14" s="21"/>
    </row>
    <row r="15" spans="1:10" ht="25" customHeight="1" x14ac:dyDescent="0.2">
      <c r="B15" s="3" t="s">
        <v>14</v>
      </c>
      <c r="C15" s="4" t="s">
        <v>15</v>
      </c>
    </row>
    <row r="16" spans="1:10" ht="25" customHeight="1" x14ac:dyDescent="0.2">
      <c r="B16" s="3" t="s">
        <v>16</v>
      </c>
      <c r="C16" s="4" t="s">
        <v>17</v>
      </c>
    </row>
    <row r="17" spans="2:3" ht="25" customHeight="1" x14ac:dyDescent="0.2">
      <c r="B17" s="3" t="s">
        <v>18</v>
      </c>
      <c r="C17" s="4" t="s">
        <v>19</v>
      </c>
    </row>
    <row r="18" spans="2:3" ht="25" customHeight="1" x14ac:dyDescent="0.2">
      <c r="B18" s="3" t="s">
        <v>20</v>
      </c>
      <c r="C18" s="4" t="s">
        <v>21</v>
      </c>
    </row>
    <row r="21" spans="2:3" ht="16" x14ac:dyDescent="0.2">
      <c r="B21" s="24" t="s">
        <v>22</v>
      </c>
      <c r="C21" s="21"/>
    </row>
  </sheetData>
  <mergeCells count="6">
    <mergeCell ref="A1:J1"/>
    <mergeCell ref="B6:C6"/>
    <mergeCell ref="B2:C2"/>
    <mergeCell ref="B21:C21"/>
    <mergeCell ref="B14:C1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8"/>
  <sheetViews>
    <sheetView workbookViewId="0">
      <selection sqref="A1:J1"/>
    </sheetView>
  </sheetViews>
  <sheetFormatPr baseColWidth="10" defaultColWidth="8.83203125" defaultRowHeight="15" x14ac:dyDescent="0.2"/>
  <cols>
    <col min="1" max="1" width="30" customWidth="1"/>
    <col min="2" max="2" width="24" customWidth="1"/>
    <col min="3" max="4" width="15.6640625" customWidth="1"/>
    <col min="5" max="5" width="24" customWidth="1"/>
    <col min="6" max="10" width="7.1640625" customWidth="1"/>
  </cols>
  <sheetData>
    <row r="1" spans="1:10" ht="30" customHeight="1" x14ac:dyDescent="0.25">
      <c r="A1" s="28" t="s">
        <v>42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10" customHeight="1" x14ac:dyDescent="0.2"/>
    <row r="3" spans="1:10" x14ac:dyDescent="0.2">
      <c r="A3" s="10" t="s">
        <v>28</v>
      </c>
      <c r="B3" s="10" t="s">
        <v>43</v>
      </c>
      <c r="C3" s="10" t="s">
        <v>44</v>
      </c>
      <c r="D3" s="10" t="s">
        <v>45</v>
      </c>
      <c r="E3" s="10" t="s">
        <v>46</v>
      </c>
    </row>
    <row r="4" spans="1:10" x14ac:dyDescent="0.2">
      <c r="A4" t="s">
        <v>47</v>
      </c>
      <c r="B4">
        <v>5000</v>
      </c>
      <c r="C4">
        <v>5200</v>
      </c>
      <c r="D4">
        <f>C4-B4</f>
        <v>200</v>
      </c>
      <c r="E4">
        <f>C4/SUM(B4:B8)</f>
        <v>0.23636363636363636</v>
      </c>
    </row>
    <row r="5" spans="1:10" x14ac:dyDescent="0.2">
      <c r="A5" t="s">
        <v>48</v>
      </c>
      <c r="B5">
        <v>3520</v>
      </c>
      <c r="C5">
        <v>3200</v>
      </c>
      <c r="D5">
        <f>C5-B5</f>
        <v>-320</v>
      </c>
      <c r="E5">
        <f>C5/SUM(B4:B8)</f>
        <v>0.14545454545454545</v>
      </c>
    </row>
    <row r="6" spans="1:10" x14ac:dyDescent="0.2">
      <c r="A6" t="s">
        <v>49</v>
      </c>
      <c r="B6">
        <v>1980</v>
      </c>
      <c r="C6">
        <v>1800</v>
      </c>
      <c r="D6">
        <f>C6-B6</f>
        <v>-180</v>
      </c>
      <c r="E6">
        <f>C6/SUM(B4:B8)</f>
        <v>8.1818181818181818E-2</v>
      </c>
    </row>
    <row r="7" spans="1:10" x14ac:dyDescent="0.2">
      <c r="A7" t="s">
        <v>50</v>
      </c>
      <c r="B7">
        <v>500</v>
      </c>
      <c r="C7">
        <v>550</v>
      </c>
      <c r="D7">
        <f>C7-B7</f>
        <v>50</v>
      </c>
      <c r="E7">
        <f>C7/SUM(B4:B8)</f>
        <v>2.5000000000000001E-2</v>
      </c>
    </row>
    <row r="8" spans="1:10" x14ac:dyDescent="0.2">
      <c r="A8" t="s">
        <v>41</v>
      </c>
      <c r="B8">
        <f>SUM(B4:B7)</f>
        <v>11000</v>
      </c>
      <c r="C8">
        <f>SUM(C4:C7)</f>
        <v>10750</v>
      </c>
      <c r="D8">
        <f>C8-B8</f>
        <v>-250</v>
      </c>
      <c r="E8">
        <f>C8/SUM(B4:B8)</f>
        <v>0.48863636363636365</v>
      </c>
    </row>
    <row r="25" spans="1:5" x14ac:dyDescent="0.2">
      <c r="A25" s="11" t="s">
        <v>28</v>
      </c>
      <c r="B25" s="11" t="s">
        <v>26</v>
      </c>
      <c r="C25" s="11" t="s">
        <v>51</v>
      </c>
      <c r="D25" s="11" t="s">
        <v>52</v>
      </c>
      <c r="E25" s="11" t="s">
        <v>53</v>
      </c>
    </row>
    <row r="26" spans="1:5" x14ac:dyDescent="0.2">
      <c r="A26" t="s">
        <v>54</v>
      </c>
      <c r="B26">
        <v>1200</v>
      </c>
      <c r="C26">
        <v>1100</v>
      </c>
      <c r="D26">
        <f t="shared" ref="D26:D31" si="0">B2-C2</f>
        <v>0</v>
      </c>
      <c r="E26">
        <f t="shared" ref="E26:E31" si="1">B2/SUM($B$2:$B$7)</f>
        <v>0</v>
      </c>
    </row>
    <row r="27" spans="1:5" x14ac:dyDescent="0.2">
      <c r="A27" t="s">
        <v>55</v>
      </c>
      <c r="B27">
        <v>800</v>
      </c>
      <c r="C27">
        <v>700</v>
      </c>
      <c r="D27" t="e">
        <f t="shared" si="0"/>
        <v>#VALUE!</v>
      </c>
      <c r="E27" t="e">
        <f t="shared" si="1"/>
        <v>#VALUE!</v>
      </c>
    </row>
    <row r="28" spans="1:5" x14ac:dyDescent="0.2">
      <c r="A28" t="s">
        <v>56</v>
      </c>
      <c r="B28">
        <v>400</v>
      </c>
      <c r="C28">
        <v>450</v>
      </c>
      <c r="D28">
        <f t="shared" si="0"/>
        <v>-200</v>
      </c>
      <c r="E28">
        <f t="shared" si="1"/>
        <v>0.45454545454545453</v>
      </c>
    </row>
    <row r="29" spans="1:5" x14ac:dyDescent="0.2">
      <c r="A29" t="s">
        <v>57</v>
      </c>
      <c r="B29">
        <v>300</v>
      </c>
      <c r="C29">
        <v>350</v>
      </c>
      <c r="D29">
        <f t="shared" si="0"/>
        <v>320</v>
      </c>
      <c r="E29">
        <f t="shared" si="1"/>
        <v>0.32</v>
      </c>
    </row>
    <row r="30" spans="1:5" x14ac:dyDescent="0.2">
      <c r="A30" t="s">
        <v>32</v>
      </c>
      <c r="B30">
        <v>300</v>
      </c>
      <c r="C30">
        <v>250</v>
      </c>
      <c r="D30">
        <f t="shared" si="0"/>
        <v>180</v>
      </c>
      <c r="E30">
        <f t="shared" si="1"/>
        <v>0.18</v>
      </c>
    </row>
    <row r="31" spans="1:5" x14ac:dyDescent="0.2">
      <c r="A31" t="s">
        <v>58</v>
      </c>
      <c r="B31">
        <v>200</v>
      </c>
      <c r="C31">
        <v>200</v>
      </c>
      <c r="D31">
        <f t="shared" si="0"/>
        <v>-50</v>
      </c>
      <c r="E31">
        <f t="shared" si="1"/>
        <v>4.5454545454545456E-2</v>
      </c>
    </row>
    <row r="32" spans="1:5" x14ac:dyDescent="0.2">
      <c r="A32" s="10" t="s">
        <v>41</v>
      </c>
      <c r="B32" s="10">
        <f>SUM(B2:B7)</f>
        <v>11000</v>
      </c>
      <c r="C32" s="10">
        <f>SUM(C2:C7)</f>
        <v>10750</v>
      </c>
      <c r="D32" s="10">
        <f>SUM(D2:D7)</f>
        <v>-250</v>
      </c>
      <c r="E32" s="10">
        <f>SUM(E2:E7)</f>
        <v>0.48863636363636365</v>
      </c>
    </row>
    <row r="45" spans="1:4" ht="16" x14ac:dyDescent="0.2">
      <c r="A45" s="12" t="s">
        <v>59</v>
      </c>
    </row>
    <row r="46" spans="1:4" x14ac:dyDescent="0.2">
      <c r="A46" s="13" t="s">
        <v>60</v>
      </c>
      <c r="B46" s="13" t="s">
        <v>47</v>
      </c>
      <c r="C46" s="13" t="s">
        <v>48</v>
      </c>
      <c r="D46" s="13" t="s">
        <v>49</v>
      </c>
    </row>
    <row r="47" spans="1:4" x14ac:dyDescent="0.2">
      <c r="A47" t="s">
        <v>61</v>
      </c>
      <c r="B47" s="14">
        <v>5000</v>
      </c>
      <c r="C47" s="14">
        <v>3200</v>
      </c>
      <c r="D47" s="14">
        <v>1800</v>
      </c>
    </row>
    <row r="48" spans="1:4" x14ac:dyDescent="0.2">
      <c r="A48" t="s">
        <v>62</v>
      </c>
      <c r="B48" s="14">
        <v>5100</v>
      </c>
      <c r="C48" s="14">
        <v>3250</v>
      </c>
      <c r="D48" s="14">
        <v>1850</v>
      </c>
    </row>
    <row r="49" spans="1:4" x14ac:dyDescent="0.2">
      <c r="A49" t="s">
        <v>63</v>
      </c>
      <c r="B49" s="14">
        <v>5200</v>
      </c>
      <c r="C49" s="14">
        <v>3300</v>
      </c>
      <c r="D49" s="14">
        <v>1900</v>
      </c>
    </row>
    <row r="50" spans="1:4" x14ac:dyDescent="0.2">
      <c r="A50" t="s">
        <v>64</v>
      </c>
      <c r="B50" s="14">
        <v>5300</v>
      </c>
      <c r="C50" s="14">
        <v>3350</v>
      </c>
      <c r="D50" s="14">
        <v>1950</v>
      </c>
    </row>
    <row r="51" spans="1:4" x14ac:dyDescent="0.2">
      <c r="A51" t="s">
        <v>65</v>
      </c>
      <c r="B51" s="14">
        <v>5400</v>
      </c>
      <c r="C51" s="14">
        <v>3400</v>
      </c>
      <c r="D51" s="14">
        <v>2000</v>
      </c>
    </row>
    <row r="52" spans="1:4" x14ac:dyDescent="0.2">
      <c r="A52" t="s">
        <v>66</v>
      </c>
      <c r="B52" s="14">
        <v>5500</v>
      </c>
      <c r="C52" s="14">
        <v>3450</v>
      </c>
      <c r="D52" s="14">
        <v>2050</v>
      </c>
    </row>
    <row r="53" spans="1:4" x14ac:dyDescent="0.2">
      <c r="A53" t="s">
        <v>67</v>
      </c>
      <c r="B53" s="14">
        <v>5600</v>
      </c>
      <c r="C53" s="14">
        <v>3500</v>
      </c>
      <c r="D53" s="14">
        <v>2100</v>
      </c>
    </row>
    <row r="54" spans="1:4" x14ac:dyDescent="0.2">
      <c r="A54" t="s">
        <v>68</v>
      </c>
      <c r="B54" s="14">
        <v>5700</v>
      </c>
      <c r="C54" s="14">
        <v>3550</v>
      </c>
      <c r="D54" s="14">
        <v>2150</v>
      </c>
    </row>
    <row r="55" spans="1:4" x14ac:dyDescent="0.2">
      <c r="A55" t="s">
        <v>69</v>
      </c>
      <c r="B55" s="14">
        <v>5800</v>
      </c>
      <c r="C55" s="14">
        <v>3600</v>
      </c>
      <c r="D55" s="14">
        <v>2200</v>
      </c>
    </row>
    <row r="56" spans="1:4" x14ac:dyDescent="0.2">
      <c r="A56" t="s">
        <v>70</v>
      </c>
      <c r="B56" s="14">
        <v>5900</v>
      </c>
      <c r="C56" s="14">
        <v>3650</v>
      </c>
      <c r="D56" s="14">
        <v>2250</v>
      </c>
    </row>
    <row r="57" spans="1:4" x14ac:dyDescent="0.2">
      <c r="A57" t="s">
        <v>71</v>
      </c>
      <c r="B57" s="14">
        <v>6000</v>
      </c>
      <c r="C57" s="14">
        <v>3700</v>
      </c>
      <c r="D57" s="14">
        <v>2300</v>
      </c>
    </row>
    <row r="58" spans="1:4" x14ac:dyDescent="0.2">
      <c r="A58" t="s">
        <v>72</v>
      </c>
      <c r="B58" s="14">
        <v>6100</v>
      </c>
      <c r="C58" s="14">
        <v>3750</v>
      </c>
      <c r="D58" s="14">
        <v>2350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82"/>
  <sheetViews>
    <sheetView showGridLines="0" tabSelected="1" topLeftCell="A29" workbookViewId="0">
      <selection activeCell="B16" sqref="B16"/>
    </sheetView>
  </sheetViews>
  <sheetFormatPr baseColWidth="10" defaultColWidth="8.83203125" defaultRowHeight="15" x14ac:dyDescent="0.2"/>
  <cols>
    <col min="1" max="5" width="15" customWidth="1"/>
    <col min="6" max="12" width="12" customWidth="1"/>
  </cols>
  <sheetData>
    <row r="1" spans="1:12" ht="40" customHeight="1" x14ac:dyDescent="0.2">
      <c r="A1" s="34" t="s">
        <v>109</v>
      </c>
      <c r="B1" s="21"/>
      <c r="C1" s="21"/>
      <c r="D1" s="21"/>
      <c r="E1" s="21"/>
      <c r="F1" s="21"/>
      <c r="G1" s="21"/>
      <c r="H1" s="21"/>
      <c r="I1" s="21"/>
      <c r="J1" s="21"/>
    </row>
    <row r="2" spans="1:12" ht="25" customHeight="1" x14ac:dyDescent="0.2">
      <c r="A2" s="47" t="s">
        <v>110</v>
      </c>
      <c r="B2" s="21"/>
      <c r="C2" s="21"/>
      <c r="D2" s="21"/>
      <c r="E2" s="21"/>
      <c r="F2" s="21"/>
      <c r="G2" s="21"/>
      <c r="H2" s="21"/>
      <c r="I2" s="21"/>
      <c r="J2" s="21"/>
    </row>
    <row r="5" spans="1:12" x14ac:dyDescent="0.2">
      <c r="A5" s="43" t="s">
        <v>111</v>
      </c>
      <c r="B5" s="21"/>
      <c r="C5" s="20" t="s">
        <v>112</v>
      </c>
      <c r="D5" s="42" t="s">
        <v>113</v>
      </c>
      <c r="E5" s="21"/>
      <c r="F5" s="20" t="s">
        <v>114</v>
      </c>
      <c r="G5" s="44" t="s">
        <v>115</v>
      </c>
      <c r="H5" s="21"/>
      <c r="I5" s="20" t="s">
        <v>112</v>
      </c>
      <c r="J5" s="38" t="s">
        <v>116</v>
      </c>
      <c r="K5" s="21"/>
      <c r="L5" s="20" t="s">
        <v>114</v>
      </c>
    </row>
    <row r="6" spans="1:12" ht="19" x14ac:dyDescent="0.25">
      <c r="A6" s="48" t="s">
        <v>117</v>
      </c>
      <c r="B6" s="21"/>
      <c r="D6" s="33" t="s">
        <v>118</v>
      </c>
      <c r="E6" s="21"/>
      <c r="G6" s="46" t="s">
        <v>119</v>
      </c>
      <c r="H6" s="21"/>
      <c r="J6" s="39" t="s">
        <v>120</v>
      </c>
      <c r="K6" s="21"/>
    </row>
    <row r="7" spans="1:12" x14ac:dyDescent="0.2">
      <c r="A7" s="36"/>
      <c r="B7" s="21"/>
      <c r="D7" s="35"/>
      <c r="E7" s="21"/>
      <c r="G7" s="37"/>
      <c r="H7" s="21"/>
      <c r="J7" s="45"/>
      <c r="K7" s="21"/>
    </row>
    <row r="10" spans="1:12" ht="25" customHeight="1" x14ac:dyDescent="0.2">
      <c r="A10" s="40" t="s">
        <v>121</v>
      </c>
      <c r="B10" s="21"/>
      <c r="C10" s="21"/>
      <c r="D10" s="21"/>
      <c r="E10" s="21"/>
      <c r="F10" s="21"/>
      <c r="G10" s="21"/>
      <c r="H10" s="21"/>
      <c r="I10" s="21"/>
      <c r="J10" s="21"/>
    </row>
    <row r="12" spans="1:12" x14ac:dyDescent="0.2">
      <c r="A12" s="11" t="s">
        <v>122</v>
      </c>
      <c r="B12" s="11" t="s">
        <v>47</v>
      </c>
      <c r="C12" s="11" t="s">
        <v>48</v>
      </c>
      <c r="D12" s="11" t="s">
        <v>49</v>
      </c>
    </row>
    <row r="13" spans="1:12" x14ac:dyDescent="0.2">
      <c r="A13" t="s">
        <v>123</v>
      </c>
      <c r="B13">
        <v>2500</v>
      </c>
      <c r="C13">
        <v>1800</v>
      </c>
      <c r="D13">
        <v>700</v>
      </c>
    </row>
    <row r="14" spans="1:12" x14ac:dyDescent="0.2">
      <c r="A14" t="s">
        <v>124</v>
      </c>
      <c r="B14">
        <v>2800</v>
      </c>
      <c r="C14">
        <v>2000</v>
      </c>
      <c r="D14">
        <v>800</v>
      </c>
    </row>
    <row r="15" spans="1:12" x14ac:dyDescent="0.2">
      <c r="A15" t="s">
        <v>125</v>
      </c>
      <c r="B15">
        <v>2400</v>
      </c>
      <c r="C15">
        <v>1700</v>
      </c>
      <c r="D15">
        <v>700</v>
      </c>
    </row>
    <row r="16" spans="1:12" x14ac:dyDescent="0.2">
      <c r="A16" t="s">
        <v>126</v>
      </c>
      <c r="B16">
        <v>2600</v>
      </c>
      <c r="C16">
        <v>1900</v>
      </c>
      <c r="D16">
        <v>700</v>
      </c>
    </row>
    <row r="31" spans="1:10" ht="25" customHeight="1" x14ac:dyDescent="0.2">
      <c r="A31" s="40" t="s">
        <v>127</v>
      </c>
      <c r="B31" s="21"/>
      <c r="C31" s="21"/>
      <c r="D31" s="21"/>
      <c r="E31" s="21"/>
      <c r="F31" s="21"/>
      <c r="G31" s="21"/>
      <c r="H31" s="21"/>
      <c r="I31" s="21"/>
      <c r="J31" s="21"/>
    </row>
    <row r="33" spans="1:2" x14ac:dyDescent="0.2">
      <c r="A33" t="s">
        <v>54</v>
      </c>
      <c r="B33">
        <v>1200</v>
      </c>
    </row>
    <row r="34" spans="1:2" x14ac:dyDescent="0.2">
      <c r="A34" t="s">
        <v>55</v>
      </c>
      <c r="B34">
        <v>800</v>
      </c>
    </row>
    <row r="35" spans="1:2" x14ac:dyDescent="0.2">
      <c r="A35" t="s">
        <v>56</v>
      </c>
      <c r="B35">
        <v>400</v>
      </c>
    </row>
    <row r="36" spans="1:2" x14ac:dyDescent="0.2">
      <c r="A36" t="s">
        <v>57</v>
      </c>
      <c r="B36">
        <v>300</v>
      </c>
    </row>
    <row r="37" spans="1:2" x14ac:dyDescent="0.2">
      <c r="A37" t="s">
        <v>32</v>
      </c>
      <c r="B37">
        <v>300</v>
      </c>
    </row>
    <row r="38" spans="1:2" x14ac:dyDescent="0.2">
      <c r="A38" t="s">
        <v>58</v>
      </c>
      <c r="B38">
        <v>200</v>
      </c>
    </row>
    <row r="53" spans="1:10" ht="25" customHeight="1" x14ac:dyDescent="0.2">
      <c r="A53" s="40" t="s">
        <v>128</v>
      </c>
      <c r="B53" s="21"/>
      <c r="C53" s="21"/>
      <c r="D53" s="21"/>
      <c r="E53" s="21"/>
      <c r="F53" s="21"/>
      <c r="G53" s="21"/>
      <c r="H53" s="21"/>
      <c r="I53" s="21"/>
      <c r="J53" s="21"/>
    </row>
    <row r="55" spans="1:10" x14ac:dyDescent="0.2">
      <c r="A55" s="11" t="s">
        <v>28</v>
      </c>
      <c r="B55" s="11" t="s">
        <v>129</v>
      </c>
      <c r="C55" s="11" t="s">
        <v>44</v>
      </c>
      <c r="D55" s="11" t="s">
        <v>52</v>
      </c>
    </row>
    <row r="56" spans="1:10" x14ac:dyDescent="0.2">
      <c r="A56" t="s">
        <v>54</v>
      </c>
      <c r="B56">
        <v>1100</v>
      </c>
      <c r="C56">
        <v>1200</v>
      </c>
      <c r="D56">
        <f t="shared" ref="D56:D61" si="0">C2-B2</f>
        <v>0</v>
      </c>
    </row>
    <row r="57" spans="1:10" x14ac:dyDescent="0.2">
      <c r="A57" t="s">
        <v>55</v>
      </c>
      <c r="B57">
        <v>700</v>
      </c>
      <c r="C57">
        <v>800</v>
      </c>
      <c r="D57">
        <f t="shared" si="0"/>
        <v>0</v>
      </c>
    </row>
    <row r="58" spans="1:10" x14ac:dyDescent="0.2">
      <c r="A58" t="s">
        <v>130</v>
      </c>
      <c r="B58">
        <v>450</v>
      </c>
      <c r="C58">
        <v>400</v>
      </c>
      <c r="D58">
        <f t="shared" si="0"/>
        <v>0</v>
      </c>
    </row>
    <row r="59" spans="1:10" x14ac:dyDescent="0.2">
      <c r="A59" t="s">
        <v>57</v>
      </c>
      <c r="B59">
        <v>350</v>
      </c>
      <c r="C59">
        <v>300</v>
      </c>
      <c r="D59" t="e">
        <f t="shared" si="0"/>
        <v>#VALUE!</v>
      </c>
    </row>
    <row r="60" spans="1:10" x14ac:dyDescent="0.2">
      <c r="A60" t="s">
        <v>32</v>
      </c>
      <c r="B60">
        <v>250</v>
      </c>
      <c r="C60">
        <v>300</v>
      </c>
      <c r="D60">
        <f t="shared" si="0"/>
        <v>0</v>
      </c>
    </row>
    <row r="61" spans="1:10" x14ac:dyDescent="0.2">
      <c r="A61" t="s">
        <v>58</v>
      </c>
      <c r="B61">
        <v>200</v>
      </c>
      <c r="C61">
        <v>200</v>
      </c>
      <c r="D61">
        <f t="shared" si="0"/>
        <v>0</v>
      </c>
    </row>
    <row r="82" spans="1:10" x14ac:dyDescent="0.2">
      <c r="A82" s="41" t="s">
        <v>131</v>
      </c>
      <c r="B82" s="21"/>
      <c r="C82" s="21"/>
      <c r="D82" s="21"/>
      <c r="E82" s="21"/>
      <c r="F82" s="21"/>
      <c r="G82" s="21"/>
      <c r="H82" s="21"/>
      <c r="I82" s="21"/>
      <c r="J82" s="21"/>
    </row>
  </sheetData>
  <mergeCells count="18">
    <mergeCell ref="A31:J31"/>
    <mergeCell ref="A82:J82"/>
    <mergeCell ref="D5:E5"/>
    <mergeCell ref="A5:B5"/>
    <mergeCell ref="G5:H5"/>
    <mergeCell ref="J7:K7"/>
    <mergeCell ref="A53:J53"/>
    <mergeCell ref="G6:H6"/>
    <mergeCell ref="A10:J10"/>
    <mergeCell ref="A6:B6"/>
    <mergeCell ref="D6:E6"/>
    <mergeCell ref="A1:J1"/>
    <mergeCell ref="D7:E7"/>
    <mergeCell ref="A7:B7"/>
    <mergeCell ref="G7:H7"/>
    <mergeCell ref="J5:K5"/>
    <mergeCell ref="J6:K6"/>
    <mergeCell ref="A2:J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workbookViewId="0">
      <selection sqref="A1:J1"/>
    </sheetView>
  </sheetViews>
  <sheetFormatPr baseColWidth="10" defaultColWidth="8.83203125" defaultRowHeight="15" x14ac:dyDescent="0.2"/>
  <cols>
    <col min="1" max="1" width="19.1640625" customWidth="1"/>
    <col min="2" max="2" width="13.1640625" customWidth="1"/>
    <col min="3" max="3" width="9.6640625" customWidth="1"/>
    <col min="4" max="5" width="19.1640625" customWidth="1"/>
    <col min="6" max="10" width="2.33203125" customWidth="1"/>
  </cols>
  <sheetData>
    <row r="1" spans="1:10" ht="30" customHeight="1" x14ac:dyDescent="0.25">
      <c r="A1" s="29" t="s">
        <v>73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10" customHeight="1" x14ac:dyDescent="0.2"/>
    <row r="3" spans="1:10" x14ac:dyDescent="0.2">
      <c r="A3" s="15" t="s">
        <v>24</v>
      </c>
      <c r="B3" s="15" t="s">
        <v>74</v>
      </c>
      <c r="C3" s="15" t="s">
        <v>26</v>
      </c>
      <c r="D3" s="15" t="s">
        <v>28</v>
      </c>
      <c r="E3" s="15" t="s">
        <v>29</v>
      </c>
    </row>
    <row r="4" spans="1:10" x14ac:dyDescent="0.2">
      <c r="A4" s="6">
        <v>46020</v>
      </c>
      <c r="B4" t="s">
        <v>75</v>
      </c>
      <c r="C4" s="7">
        <v>3000</v>
      </c>
      <c r="D4" t="s">
        <v>76</v>
      </c>
      <c r="E4" t="s">
        <v>77</v>
      </c>
    </row>
    <row r="5" spans="1:10" x14ac:dyDescent="0.2">
      <c r="A5" s="6">
        <v>46006</v>
      </c>
      <c r="B5" t="s">
        <v>78</v>
      </c>
      <c r="C5" s="7">
        <v>1000</v>
      </c>
      <c r="D5" t="s">
        <v>79</v>
      </c>
      <c r="E5" t="s">
        <v>80</v>
      </c>
    </row>
    <row r="6" spans="1:10" x14ac:dyDescent="0.2">
      <c r="A6" s="8" t="s">
        <v>41</v>
      </c>
      <c r="C6" s="9">
        <v>4000</v>
      </c>
    </row>
  </sheetData>
  <mergeCells count="1">
    <mergeCell ref="A1:J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workbookViewId="0">
      <selection sqref="A1:J1"/>
    </sheetView>
  </sheetViews>
  <sheetFormatPr baseColWidth="10" defaultColWidth="8.83203125" defaultRowHeight="15" x14ac:dyDescent="0.2"/>
  <cols>
    <col min="1" max="1" width="20.33203125" customWidth="1"/>
    <col min="2" max="2" width="15.6640625" customWidth="1"/>
    <col min="3" max="3" width="9.6640625" customWidth="1"/>
    <col min="4" max="4" width="13.1640625" customWidth="1"/>
    <col min="5" max="5" width="19.1640625" customWidth="1"/>
    <col min="6" max="6" width="20.33203125" customWidth="1"/>
    <col min="7" max="10" width="2.33203125" customWidth="1"/>
  </cols>
  <sheetData>
    <row r="1" spans="1:10" ht="30" customHeight="1" x14ac:dyDescent="0.25">
      <c r="A1" s="30" t="s">
        <v>81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10" customHeight="1" x14ac:dyDescent="0.2"/>
    <row r="3" spans="1:10" x14ac:dyDescent="0.2">
      <c r="A3" s="16" t="s">
        <v>24</v>
      </c>
      <c r="B3" s="16" t="s">
        <v>82</v>
      </c>
      <c r="C3" s="16" t="s">
        <v>26</v>
      </c>
      <c r="D3" s="16" t="s">
        <v>28</v>
      </c>
      <c r="E3" s="16" t="s">
        <v>83</v>
      </c>
      <c r="F3" s="16" t="s">
        <v>29</v>
      </c>
    </row>
    <row r="4" spans="1:10" x14ac:dyDescent="0.2">
      <c r="A4" s="6">
        <v>46020</v>
      </c>
      <c r="B4" t="s">
        <v>84</v>
      </c>
      <c r="C4" s="7">
        <v>150</v>
      </c>
      <c r="D4" t="s">
        <v>55</v>
      </c>
      <c r="E4" t="s">
        <v>85</v>
      </c>
      <c r="F4" t="s">
        <v>86</v>
      </c>
    </row>
    <row r="5" spans="1:10" x14ac:dyDescent="0.2">
      <c r="A5" s="6">
        <v>46020</v>
      </c>
      <c r="B5" t="s">
        <v>87</v>
      </c>
      <c r="C5" s="7">
        <v>80</v>
      </c>
      <c r="D5" t="s">
        <v>57</v>
      </c>
      <c r="E5" t="s">
        <v>88</v>
      </c>
      <c r="F5" t="s">
        <v>89</v>
      </c>
    </row>
    <row r="6" spans="1:10" x14ac:dyDescent="0.2">
      <c r="A6" s="8" t="s">
        <v>41</v>
      </c>
      <c r="C6" s="9">
        <v>230</v>
      </c>
    </row>
  </sheetData>
  <mergeCells count="1">
    <mergeCell ref="A1:J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>
      <selection sqref="A1:J1"/>
    </sheetView>
  </sheetViews>
  <sheetFormatPr baseColWidth="10" defaultColWidth="8.83203125" defaultRowHeight="15" x14ac:dyDescent="0.2"/>
  <cols>
    <col min="1" max="1" width="25.1640625" customWidth="1"/>
    <col min="2" max="2" width="19.1640625" customWidth="1"/>
    <col min="3" max="3" width="9.6640625" customWidth="1"/>
    <col min="4" max="4" width="16.83203125" customWidth="1"/>
    <col min="5" max="5" width="18" customWidth="1"/>
    <col min="6" max="6" width="24" customWidth="1"/>
    <col min="7" max="10" width="2.33203125" customWidth="1"/>
  </cols>
  <sheetData>
    <row r="1" spans="1:10" ht="30" customHeight="1" x14ac:dyDescent="0.25">
      <c r="A1" s="27" t="s">
        <v>23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10" customHeight="1" x14ac:dyDescent="0.2"/>
    <row r="3" spans="1:10" x14ac:dyDescent="0.2">
      <c r="A3" s="5" t="s">
        <v>24</v>
      </c>
      <c r="B3" s="5" t="s">
        <v>25</v>
      </c>
      <c r="C3" s="5" t="s">
        <v>26</v>
      </c>
      <c r="D3" s="5" t="s">
        <v>27</v>
      </c>
      <c r="E3" s="5" t="s">
        <v>28</v>
      </c>
      <c r="F3" s="5" t="s">
        <v>29</v>
      </c>
    </row>
    <row r="4" spans="1:10" x14ac:dyDescent="0.2">
      <c r="A4" s="6">
        <v>45992</v>
      </c>
      <c r="B4" t="s">
        <v>30</v>
      </c>
      <c r="C4" s="7">
        <v>15.99</v>
      </c>
      <c r="D4" t="s">
        <v>31</v>
      </c>
      <c r="E4" t="s">
        <v>32</v>
      </c>
      <c r="F4" t="s">
        <v>33</v>
      </c>
    </row>
    <row r="5" spans="1:10" x14ac:dyDescent="0.2">
      <c r="A5" s="6">
        <v>45996</v>
      </c>
      <c r="B5" t="s">
        <v>34</v>
      </c>
      <c r="C5" s="7">
        <v>45</v>
      </c>
      <c r="D5" t="s">
        <v>31</v>
      </c>
      <c r="E5" t="s">
        <v>35</v>
      </c>
      <c r="F5" t="s">
        <v>36</v>
      </c>
    </row>
    <row r="6" spans="1:10" x14ac:dyDescent="0.2">
      <c r="A6" s="6">
        <v>46001</v>
      </c>
      <c r="B6" t="s">
        <v>37</v>
      </c>
      <c r="C6" s="7">
        <v>199.99</v>
      </c>
      <c r="D6" t="s">
        <v>38</v>
      </c>
      <c r="E6" t="s">
        <v>39</v>
      </c>
      <c r="F6" t="s">
        <v>40</v>
      </c>
    </row>
    <row r="7" spans="1:10" x14ac:dyDescent="0.2">
      <c r="A7" s="8" t="s">
        <v>41</v>
      </c>
      <c r="C7" s="9">
        <v>260.98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"/>
  <sheetViews>
    <sheetView workbookViewId="0">
      <selection sqref="A1:J1"/>
    </sheetView>
  </sheetViews>
  <sheetFormatPr baseColWidth="10" defaultColWidth="8.83203125" defaultRowHeight="15" x14ac:dyDescent="0.2"/>
  <cols>
    <col min="1" max="1" width="20.33203125" customWidth="1"/>
    <col min="2" max="2" width="19.1640625" customWidth="1"/>
    <col min="3" max="3" width="18" customWidth="1"/>
    <col min="4" max="4" width="19.1640625" customWidth="1"/>
    <col min="5" max="5" width="14.33203125" customWidth="1"/>
    <col min="6" max="10" width="2.33203125" customWidth="1"/>
  </cols>
  <sheetData>
    <row r="1" spans="1:10" ht="30" customHeight="1" x14ac:dyDescent="0.25">
      <c r="A1" s="31" t="s">
        <v>90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10" customHeight="1" x14ac:dyDescent="0.2"/>
    <row r="3" spans="1:10" x14ac:dyDescent="0.2">
      <c r="A3" s="17" t="s">
        <v>24</v>
      </c>
      <c r="B3" s="17" t="s">
        <v>91</v>
      </c>
      <c r="C3" s="17" t="s">
        <v>92</v>
      </c>
      <c r="D3" s="17" t="s">
        <v>93</v>
      </c>
      <c r="E3" s="17" t="s">
        <v>94</v>
      </c>
    </row>
    <row r="4" spans="1:10" x14ac:dyDescent="0.2">
      <c r="A4" s="6">
        <v>46020</v>
      </c>
      <c r="B4" t="s">
        <v>95</v>
      </c>
      <c r="C4" s="7">
        <v>10000</v>
      </c>
      <c r="D4" s="7">
        <v>3500</v>
      </c>
      <c r="E4" t="e">
        <f>D2/C2</f>
        <v>#DIV/0!</v>
      </c>
    </row>
    <row r="5" spans="1:10" x14ac:dyDescent="0.2">
      <c r="A5" s="8" t="s">
        <v>41</v>
      </c>
      <c r="C5" s="9">
        <v>10000</v>
      </c>
      <c r="D5" s="9">
        <v>3500</v>
      </c>
    </row>
  </sheetData>
  <mergeCells count="1">
    <mergeCell ref="A1:J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workbookViewId="0">
      <selection sqref="A1:J1"/>
    </sheetView>
  </sheetViews>
  <sheetFormatPr baseColWidth="10" defaultColWidth="8.83203125" defaultRowHeight="15" x14ac:dyDescent="0.2"/>
  <cols>
    <col min="1" max="1" width="19.1640625" customWidth="1"/>
    <col min="2" max="2" width="15.6640625" customWidth="1"/>
    <col min="3" max="3" width="14.33203125" customWidth="1"/>
    <col min="4" max="4" width="21.6640625" customWidth="1"/>
    <col min="5" max="10" width="2.33203125" customWidth="1"/>
  </cols>
  <sheetData>
    <row r="1" spans="1:10" ht="30" customHeight="1" x14ac:dyDescent="0.25">
      <c r="A1" s="32" t="s">
        <v>96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10" customHeight="1" x14ac:dyDescent="0.2"/>
    <row r="3" spans="1:10" x14ac:dyDescent="0.2">
      <c r="A3" s="18" t="s">
        <v>24</v>
      </c>
      <c r="B3" s="18" t="s">
        <v>97</v>
      </c>
      <c r="C3" s="18" t="s">
        <v>98</v>
      </c>
      <c r="D3" s="18" t="s">
        <v>29</v>
      </c>
    </row>
    <row r="4" spans="1:10" x14ac:dyDescent="0.2">
      <c r="A4" s="6">
        <v>46013</v>
      </c>
      <c r="B4" s="7">
        <v>75.5</v>
      </c>
      <c r="C4" s="7">
        <v>22</v>
      </c>
      <c r="D4" t="s">
        <v>99</v>
      </c>
    </row>
    <row r="5" spans="1:10" x14ac:dyDescent="0.2">
      <c r="A5" s="6">
        <v>46020</v>
      </c>
      <c r="B5" s="7">
        <v>74.8</v>
      </c>
      <c r="C5" s="7">
        <v>21.5</v>
      </c>
      <c r="D5" t="s">
        <v>100</v>
      </c>
    </row>
    <row r="6" spans="1:10" x14ac:dyDescent="0.2">
      <c r="A6" s="8" t="s">
        <v>41</v>
      </c>
      <c r="B6" s="9">
        <v>150.30000000000001</v>
      </c>
      <c r="C6" s="9">
        <v>43.5</v>
      </c>
    </row>
  </sheetData>
  <mergeCells count="1">
    <mergeCell ref="A1:J1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2"/>
  <sheetViews>
    <sheetView workbookViewId="0">
      <selection sqref="A1:J1"/>
    </sheetView>
  </sheetViews>
  <sheetFormatPr baseColWidth="10" defaultColWidth="8.83203125" defaultRowHeight="15" x14ac:dyDescent="0.2"/>
  <sheetData>
    <row r="1" spans="1:10" ht="30" customHeight="1" x14ac:dyDescent="0.25">
      <c r="A1" s="28" t="s">
        <v>101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10" customHeight="1" x14ac:dyDescent="0.2"/>
    <row r="3" spans="1:10" x14ac:dyDescent="0.2">
      <c r="A3" t="s">
        <v>102</v>
      </c>
    </row>
    <row r="5" spans="1:10" x14ac:dyDescent="0.2">
      <c r="A5" s="19" t="s">
        <v>103</v>
      </c>
    </row>
    <row r="6" spans="1:10" x14ac:dyDescent="0.2">
      <c r="A6" t="s">
        <v>104</v>
      </c>
    </row>
    <row r="7" spans="1:10" x14ac:dyDescent="0.2">
      <c r="A7" t="s">
        <v>105</v>
      </c>
    </row>
    <row r="8" spans="1:10" x14ac:dyDescent="0.2">
      <c r="A8" t="s">
        <v>106</v>
      </c>
    </row>
    <row r="10" spans="1:10" x14ac:dyDescent="0.2">
      <c r="A10" t="s">
        <v>107</v>
      </c>
    </row>
    <row r="12" spans="1:10" x14ac:dyDescent="0.2">
      <c r="A12" s="19" t="s">
        <v>108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Welcome Guide</vt:lpstr>
      <vt:lpstr>Dashboard</vt:lpstr>
      <vt:lpstr>Charts</vt:lpstr>
      <vt:lpstr>Income Tracker</vt:lpstr>
      <vt:lpstr>Expense Tracker</vt:lpstr>
      <vt:lpstr>Monthly Purchases</vt:lpstr>
      <vt:lpstr>Savings Tracker</vt:lpstr>
      <vt:lpstr>Weight Tracker</vt:lpstr>
      <vt:lpstr>AI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 Gathukia 2024 (N1292714)</cp:lastModifiedBy>
  <dcterms:created xsi:type="dcterms:W3CDTF">2025-12-29T17:04:48Z</dcterms:created>
  <dcterms:modified xsi:type="dcterms:W3CDTF">2025-12-29T17:06:46Z</dcterms:modified>
</cp:coreProperties>
</file>