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Welcome Guide" sheetId="1" state="visible" r:id="rId1"/>
    <sheet xmlns:r="http://schemas.openxmlformats.org/officeDocument/2006/relationships" name="Monthly Purchase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Income Tracker" sheetId="4" state="visible" r:id="rId4"/>
    <sheet xmlns:r="http://schemas.openxmlformats.org/officeDocument/2006/relationships" name="Expense Tracker" sheetId="5" state="visible" r:id="rId5"/>
    <sheet xmlns:r="http://schemas.openxmlformats.org/officeDocument/2006/relationships" name="Savings Tracker" sheetId="6" state="visible" r:id="rId6"/>
    <sheet xmlns:r="http://schemas.openxmlformats.org/officeDocument/2006/relationships" name="Weight Tracker" sheetId="7" state="visible" r:id="rId7"/>
    <sheet xmlns:r="http://schemas.openxmlformats.org/officeDocument/2006/relationships" name="Habit Tracker" sheetId="8" state="visible" r:id="rId8"/>
    <sheet xmlns:r="http://schemas.openxmlformats.org/officeDocument/2006/relationships" name="AI Insights" sheetId="9" state="visible" r:id="rId9"/>
    <sheet xmlns:r="http://schemas.openxmlformats.org/officeDocument/2006/relationships" name="Char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3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20"/>
    </font>
    <font>
      <i val="1"/>
      <color rgb="006f42c1"/>
      <sz val="12"/>
    </font>
    <font>
      <b val="1"/>
      <color rgb="006f42c1"/>
      <sz val="14"/>
    </font>
    <font>
      <b val="1"/>
      <color rgb="00FFFFFF"/>
    </font>
    <font>
      <b val="1"/>
    </font>
    <font>
      <b val="1"/>
      <color rgb="006f42c1"/>
    </font>
    <font>
      <b val="1"/>
      <color rgb="006f42c1"/>
      <sz val="12"/>
    </font>
    <font>
      <name val="Calibri"/>
      <b val="1"/>
      <color rgb="00FFFFFF"/>
      <sz val="18"/>
    </font>
    <font>
      <name val="Calibri"/>
      <color rgb="006f42c1"/>
      <sz val="14"/>
    </font>
    <font>
      <color rgb="00FFFFFF"/>
    </font>
    <font>
      <name val="Calibri"/>
      <b val="1"/>
      <color rgb="006f42c1"/>
      <sz val="12"/>
    </font>
    <font>
      <name val="Calibri"/>
      <b val="1"/>
      <color rgb="00FFFFFF"/>
      <sz val="24"/>
    </font>
    <font>
      <name val="Calibri"/>
      <i val="1"/>
      <color rgb="00595959"/>
      <sz val="14"/>
    </font>
    <font>
      <name val="Calibri"/>
      <b val="1"/>
      <color rgb="006f42c1"/>
      <sz val="16"/>
    </font>
    <font>
      <name val="Calibri"/>
      <b val="1"/>
      <sz val="12"/>
    </font>
    <font>
      <name val="Calibri"/>
      <sz val="12"/>
    </font>
    <font>
      <name val="Calibri"/>
      <i val="1"/>
      <color rgb="00595959"/>
      <sz val="12"/>
    </font>
    <font>
      <name val="Calibri"/>
      <b val="1"/>
      <color rgb="00FFFFFF"/>
      <sz val="20"/>
    </font>
    <font>
      <name val="Calibri"/>
      <i val="1"/>
      <color rgb="006f42c1"/>
      <sz val="12"/>
    </font>
    <font>
      <b val="1"/>
      <color rgb="004CAF50"/>
      <sz val="11"/>
    </font>
    <font>
      <b val="1"/>
      <color rgb="004CAF50"/>
      <sz val="14"/>
    </font>
    <font>
      <b val="1"/>
      <color rgb="00F44336"/>
      <sz val="11"/>
    </font>
    <font>
      <b val="1"/>
      <color rgb="00F44336"/>
      <sz val="14"/>
    </font>
    <font>
      <b val="1"/>
      <color rgb="002196F3"/>
      <sz val="11"/>
    </font>
    <font>
      <b val="1"/>
      <color rgb="002196F3"/>
      <sz val="14"/>
    </font>
    <font>
      <b val="1"/>
      <color rgb="009C27B0"/>
      <sz val="11"/>
    </font>
    <font>
      <b val="1"/>
      <color rgb="009C27B0"/>
      <sz val="14"/>
    </font>
    <font>
      <b val="1"/>
      <color rgb="00FFFFFF"/>
      <sz val="14"/>
    </font>
    <font>
      <i val="1"/>
      <color rgb="00999999"/>
      <sz val="9"/>
    </font>
  </fonts>
  <fills count="18">
    <fill>
      <patternFill/>
    </fill>
    <fill>
      <patternFill patternType="gray125"/>
    </fill>
    <fill>
      <patternFill patternType="solid">
        <fgColor rgb="006f42c1"/>
        <bgColor rgb="006f42c1"/>
      </patternFill>
    </fill>
    <fill>
      <patternFill patternType="solid">
        <fgColor rgb="00D8BFD8"/>
        <bgColor rgb="00D8BFD8"/>
      </patternFill>
    </fill>
    <fill>
      <patternFill patternType="solid">
        <fgColor rgb="00B0E0E6"/>
        <bgColor rgb="00B0E0E6"/>
      </patternFill>
    </fill>
    <fill>
      <patternFill patternType="solid">
        <fgColor rgb="00FFB6C1"/>
        <bgColor rgb="00FFB6C1"/>
      </patternFill>
    </fill>
    <fill>
      <patternFill patternType="solid">
        <fgColor rgb="0098FB98"/>
        <bgColor rgb="0098FB98"/>
      </patternFill>
    </fill>
    <fill>
      <patternFill patternType="solid">
        <fgColor rgb="00FFDAB9"/>
        <bgColor rgb="00FFDAB9"/>
      </patternFill>
    </fill>
    <fill>
      <patternFill patternType="solid">
        <fgColor rgb="00AFEEEE"/>
        <bgColor rgb="00AFEEEE"/>
      </patternFill>
    </fill>
    <fill>
      <patternFill patternType="solid">
        <fgColor rgb="00F2E6FF"/>
        <bgColor rgb="00F2E6FF"/>
      </patternFill>
    </fill>
    <fill>
      <patternFill patternType="solid">
        <fgColor rgb="4CAF5020"/>
        <bgColor rgb="4CAF5020"/>
      </patternFill>
    </fill>
    <fill>
      <patternFill patternType="solid">
        <fgColor rgb="4CAF5040"/>
        <bgColor rgb="4CAF5040"/>
      </patternFill>
    </fill>
    <fill>
      <patternFill patternType="solid">
        <fgColor rgb="F4433620"/>
        <bgColor rgb="F4433620"/>
      </patternFill>
    </fill>
    <fill>
      <patternFill patternType="solid">
        <fgColor rgb="F4433640"/>
        <bgColor rgb="F4433640"/>
      </patternFill>
    </fill>
    <fill>
      <patternFill patternType="solid">
        <fgColor rgb="2196F320"/>
        <bgColor rgb="2196F320"/>
      </patternFill>
    </fill>
    <fill>
      <patternFill patternType="solid">
        <fgColor rgb="2196F340"/>
        <bgColor rgb="2196F340"/>
      </patternFill>
    </fill>
    <fill>
      <patternFill patternType="solid">
        <fgColor rgb="9C27B020"/>
        <bgColor rgb="9C27B020"/>
      </patternFill>
    </fill>
    <fill>
      <patternFill patternType="solid">
        <fgColor rgb="9C27B040"/>
        <bgColor rgb="9C27B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3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left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5" fillId="3" borderId="1" pivotButton="0" quotePrefix="0" xfId="0"/>
    <xf numFmtId="164" fontId="0" fillId="0" borderId="0" pivotButton="0" quotePrefix="0" xfId="0"/>
    <xf numFmtId="2" fontId="0" fillId="0" borderId="0" pivotButton="0" quotePrefix="0" xfId="0"/>
    <xf numFmtId="0" fontId="6" fillId="0" borderId="0" pivotButton="0" quotePrefix="0" xfId="0"/>
    <xf numFmtId="2" fontId="6" fillId="0" borderId="0" pivotButton="0" quotePrefix="0" xfId="0"/>
    <xf numFmtId="0" fontId="1" fillId="2" borderId="0" applyAlignment="1" pivotButton="0" quotePrefix="0" xfId="0">
      <alignment horizontal="center"/>
    </xf>
    <xf numFmtId="0" fontId="6" fillId="9" borderId="0" pivotButton="0" quotePrefix="0" xfId="0"/>
    <xf numFmtId="0" fontId="11" fillId="2" borderId="0" pivotButton="0" quotePrefix="0" xfId="0"/>
    <xf numFmtId="0" fontId="12" fillId="0" borderId="0" pivotButton="0" quotePrefix="0" xfId="0"/>
    <xf numFmtId="0" fontId="5" fillId="2" borderId="0" pivotButton="0" quotePrefix="0" xfId="0"/>
    <xf numFmtId="165" fontId="0" fillId="0" borderId="0" pivotButton="0" quotePrefix="0" xfId="0"/>
    <xf numFmtId="0" fontId="1" fillId="4" borderId="0" applyAlignment="1" pivotButton="0" quotePrefix="0" xfId="0">
      <alignment horizontal="center"/>
    </xf>
    <xf numFmtId="0" fontId="5" fillId="4" borderId="1" pivotButton="0" quotePrefix="0" xfId="0"/>
    <xf numFmtId="0" fontId="1" fillId="5" borderId="0" applyAlignment="1" pivotButton="0" quotePrefix="0" xfId="0">
      <alignment horizontal="center"/>
    </xf>
    <xf numFmtId="0" fontId="5" fillId="5" borderId="1" pivotButton="0" quotePrefix="0" xfId="0"/>
    <xf numFmtId="0" fontId="1" fillId="6" borderId="0" applyAlignment="1" pivotButton="0" quotePrefix="0" xfId="0">
      <alignment horizontal="center"/>
    </xf>
    <xf numFmtId="0" fontId="5" fillId="6" borderId="1" pivotButton="0" quotePrefix="0" xfId="0"/>
    <xf numFmtId="0" fontId="1" fillId="7" borderId="0" applyAlignment="1" pivotButton="0" quotePrefix="0" xfId="0">
      <alignment horizontal="center"/>
    </xf>
    <xf numFmtId="0" fontId="5" fillId="7" borderId="1" pivotButton="0" quotePrefix="0" xfId="0"/>
    <xf numFmtId="0" fontId="1" fillId="8" borderId="0" applyAlignment="1" pivotButton="0" quotePrefix="0" xfId="0">
      <alignment horizontal="center"/>
    </xf>
    <xf numFmtId="0" fontId="5" fillId="8" borderId="1" pivotButton="0" quotePrefix="0" xfId="0"/>
    <xf numFmtId="0" fontId="7" fillId="0" borderId="0" pivotButton="0" quotePrefix="0" xfId="0"/>
    <xf numFmtId="0" fontId="19" fillId="2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21" fillId="11" borderId="0" pivotButton="0" quotePrefix="0" xfId="0"/>
    <xf numFmtId="0" fontId="0" fillId="0" borderId="0" applyAlignment="1" pivotButton="0" quotePrefix="0" xfId="0">
      <alignment horizontal="right"/>
    </xf>
    <xf numFmtId="0" fontId="23" fillId="13" borderId="0" pivotButton="0" quotePrefix="0" xfId="0"/>
    <xf numFmtId="0" fontId="25" fillId="15" borderId="0" pivotButton="0" quotePrefix="0" xfId="0"/>
    <xf numFmtId="0" fontId="27" fillId="17" borderId="0" pivotButton="0" quotePrefix="0" xfId="0"/>
    <xf numFmtId="0" fontId="22" fillId="10" borderId="0" applyAlignment="1" pivotButton="0" quotePrefix="0" xfId="0">
      <alignment horizontal="center"/>
    </xf>
    <xf numFmtId="0" fontId="24" fillId="12" borderId="0" applyAlignment="1" pivotButton="0" quotePrefix="0" xfId="0">
      <alignment horizontal="center"/>
    </xf>
    <xf numFmtId="0" fontId="26" fillId="14" borderId="0" applyAlignment="1" pivotButton="0" quotePrefix="0" xfId="0">
      <alignment horizontal="center"/>
    </xf>
    <xf numFmtId="0" fontId="28" fillId="16" borderId="0" applyAlignment="1" pivotButton="0" quotePrefix="0" xfId="0">
      <alignment horizontal="center"/>
    </xf>
    <xf numFmtId="0" fontId="0" fillId="10" borderId="0" pivotButton="0" quotePrefix="0" xfId="0"/>
    <xf numFmtId="0" fontId="0" fillId="12" borderId="0" pivotButton="0" quotePrefix="0" xfId="0"/>
    <xf numFmtId="0" fontId="0" fillId="14" borderId="0" pivotButton="0" quotePrefix="0" xfId="0"/>
    <xf numFmtId="0" fontId="0" fillId="16" borderId="0" pivotButton="0" quotePrefix="0" xfId="0"/>
    <xf numFmtId="0" fontId="29" fillId="2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Tracker -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'Income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'Income Tracker'!$A$4:$A$5</f>
            </numRef>
          </cat>
          <val>
            <numRef>
              <f>'Income Tracker'!$C$4:$C$5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Tracker -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'Expense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'Expense Tracker'!$A$4:$A$5</f>
            </numRef>
          </cat>
          <val>
            <numRef>
              <f>'Expense Tracker'!$C$4:$C$5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Savings Tracker - Target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'Savings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'Savings Tracker'!$A$4</f>
            </numRef>
          </cat>
          <val>
            <numRef>
              <f>'Savings Tracker'!$C$4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Savings Tracker - Current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'Savings Tracker'!D3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'Savings Tracker'!$A$4</f>
            </numRef>
          </cat>
          <val>
            <numRef>
              <f>'Savings Tracker'!$D$4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 Tracker - Weight (kg)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'Weight Tracker'!B3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'Weight Tracker'!$A$4:$A$5</f>
            </numRef>
          </cat>
          <val>
            <numRef>
              <f>'Weight Tracker'!$B$4:$B$5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 Tracker - Body Fat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'Weight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'Weight Tracker'!$A$4:$A$5</f>
            </numRef>
          </cat>
          <val>
            <numRef>
              <f>'Weight Tracker'!$C$4:$C$5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Habit Tracker - Water (glasses)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'Habit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'Habit Tracker'!$A$4:$A$5</f>
            </numRef>
          </cat>
          <val>
            <numRef>
              <f>'Habit Tracker'!$C$4:$C$5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Habit Tracker - Sleep (hours)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'Habit Tracker'!D3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'Habit Tracker'!$A$4:$A$5</f>
            </numRef>
          </cat>
          <val>
            <numRef>
              <f>'Habit Tracker'!$D$4:$D$5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5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Financial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'Charts'!B12</f>
            </strRef>
          </tx>
          <spPr>
            <a:ln xmlns:a="http://schemas.openxmlformats.org/drawingml/2006/main" w="30000">
              <a:solidFill>
                <a:srgbClr val="4CAF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Val val="1"/>
          </dLbls>
          <cat>
            <numRef>
              <f>'Charts'!$A$13:$A$16</f>
            </numRef>
          </cat>
          <val>
            <numRef>
              <f>'Charts'!$B$13:$B$16</f>
            </numRef>
          </val>
        </ser>
        <ser>
          <idx val="1"/>
          <order val="1"/>
          <tx>
            <strRef>
              <f>'Charts'!C12</f>
            </strRef>
          </tx>
          <spPr>
            <a:ln xmlns:a="http://schemas.openxmlformats.org/drawingml/2006/main" w="30000">
              <a:solidFill>
                <a:srgbClr val="F4433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Val val="1"/>
          </dLbls>
          <cat>
            <numRef>
              <f>'Charts'!$A$13:$A$16</f>
            </numRef>
          </cat>
          <val>
            <numRef>
              <f>'Charts'!$C$13:$C$16</f>
            </numRef>
          </val>
        </ser>
        <ser>
          <idx val="2"/>
          <order val="2"/>
          <tx>
            <strRef>
              <f>'Charts'!D12</f>
            </strRef>
          </tx>
          <spPr>
            <a:ln xmlns:a="http://schemas.openxmlformats.org/drawingml/2006/main" w="30000">
              <a:solidFill>
                <a:srgbClr val="2196F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Val val="1"/>
          </dLbls>
          <cat>
            <numRef>
              <f>'Charts'!$A$13:$A$16</f>
            </numRef>
          </cat>
          <val>
            <numRef>
              <f>'Charts'!$D$13:$D$16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Expenses by Category</a:t>
            </a:r>
          </a:p>
        </rich>
      </tx>
    </title>
    <plotArea>
      <pie3DChart>
        <varyColors val="1"/>
        <ser>
          <idx val="0"/>
          <order val="0"/>
          <tx>
            <strRef>
              <f>'Charts'!B32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'Charts'!$A$33:$A$38</f>
            </numRef>
          </cat>
          <val>
            <numRef>
              <f>'Charts'!$B$33:$B$38</f>
            </numRef>
          </val>
        </ser>
        <dLbls>
          <showVal val="1"/>
          <showCatName val="1"/>
          <showPercent val="1"/>
        </dLbls>
      </pie3DChart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'Charts'!B55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'Charts'!$A$56:$A$60</f>
            </numRef>
          </cat>
          <val>
            <numRef>
              <f>'Charts'!$B$56:$B$60</f>
            </numRef>
          </val>
        </ser>
        <ser>
          <idx val="1"/>
          <order val="1"/>
          <tx>
            <strRef>
              <f>'Charts'!C55</f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>
              <a:prstDash val="solid"/>
            </a:ln>
          </spPr>
          <cat>
            <numRef>
              <f>'Charts'!$A$56:$A$60</f>
            </numRef>
          </cat>
          <val>
            <numRef>
              <f>'Charts'!$C$56:$C$60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6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17</row>
      <rowOff>0</rowOff>
    </from>
    <ext cx="90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32</row>
      <rowOff>0</rowOff>
    </from>
    <ext cx="900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63</row>
      <rowOff>0</rowOff>
    </from>
    <ext cx="900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tabColor rgb="006f42c1"/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0" customWidth="1" min="3" max="3"/>
    <col width="4" customWidth="1" min="4" max="4"/>
  </cols>
  <sheetData>
    <row r="1" ht="30" customHeight="1"/>
    <row r="2" ht="40" customHeight="1">
      <c r="B2" s="1" t="inlineStr">
        <is>
          <t>🚀 Welcome to Your All-in-One Life Dashboard</t>
        </is>
      </c>
    </row>
    <row r="4" ht="25" customHeight="1">
      <c r="B4" s="2" t="inlineStr">
        <is>
          <t>Track finances, build habits, and organize your life with ease.</t>
        </is>
      </c>
    </row>
    <row r="6" ht="30" customHeight="1">
      <c r="B6" s="3" t="inlineStr">
        <is>
          <t>Core Features</t>
        </is>
      </c>
    </row>
    <row r="7" ht="25" customHeight="1">
      <c r="B7" s="4" t="inlineStr">
        <is>
          <t>📊 Dashboard</t>
        </is>
      </c>
      <c r="C7" s="5" t="inlineStr">
        <is>
          <t>A high-level overview of your financial health and key life metrics.</t>
        </is>
      </c>
    </row>
    <row r="8" ht="25" customHeight="1">
      <c r="B8" s="4" t="inlineStr">
        <is>
          <t>💰 Financial Trackers</t>
        </is>
      </c>
      <c r="C8" s="5" t="inlineStr">
        <is>
          <t>Log income, expenses, savings, and investments in dedicated tabs.</t>
        </is>
      </c>
    </row>
    <row r="9" ht="25" customHeight="1">
      <c r="B9" s="4" t="inlineStr">
        <is>
          <t>💚 Health &amp; Wellness</t>
        </is>
      </c>
      <c r="C9" s="5" t="inlineStr">
        <is>
          <t>Monitor weight, build habits, and focus on self-care.</t>
        </is>
      </c>
    </row>
    <row r="10" ht="25" customHeight="1">
      <c r="B10" s="4" t="inlineStr">
        <is>
          <t>📅 Life Organization</t>
        </is>
      </c>
      <c r="C10" s="5" t="inlineStr">
        <is>
          <t>Plan meals, manage cleaning schedules, and organize your time.</t>
        </is>
      </c>
    </row>
    <row r="11" ht="25" customHeight="1">
      <c r="B11" s="4" t="inlineStr">
        <is>
          <t>🤖 AI Insights</t>
        </is>
      </c>
      <c r="C11" s="5" t="inlineStr">
        <is>
          <t>Upload your sheet to get personalized financial recommendations.</t>
        </is>
      </c>
    </row>
    <row r="14" ht="30" customHeight="1">
      <c r="B14" s="6" t="inlineStr">
        <is>
          <t>How to Get Started</t>
        </is>
      </c>
    </row>
    <row r="15" ht="25" customHeight="1">
      <c r="B15" s="7" t="inlineStr">
        <is>
          <t>1.</t>
        </is>
      </c>
      <c r="C15" s="8" t="inlineStr">
        <is>
          <t>Explore each tab to see what's available.</t>
        </is>
      </c>
    </row>
    <row r="16" ht="25" customHeight="1">
      <c r="B16" s="7" t="inlineStr">
        <is>
          <t>2.</t>
        </is>
      </c>
      <c r="C16" s="8" t="inlineStr">
        <is>
          <t>Fill in your data in the respective trackers (income, expenses, etc.).</t>
        </is>
      </c>
    </row>
    <row r="17" ht="25" customHeight="1">
      <c r="B17" s="7" t="inlineStr">
        <is>
          <t>3.</t>
        </is>
      </c>
      <c r="C17" s="8" t="inlineStr">
        <is>
          <t>The 'Dashboard' and 'Charts' tabs will update automatically.</t>
        </is>
      </c>
    </row>
    <row r="18" ht="25" customHeight="1">
      <c r="B18" s="7" t="inlineStr">
        <is>
          <t>4.</t>
        </is>
      </c>
      <c r="C18" s="8" t="inlineStr">
        <is>
          <t>For AI analysis, save the file and upload it in the web app.</t>
        </is>
      </c>
    </row>
    <row r="21">
      <c r="B21" s="9" t="inlineStr">
        <is>
          <t>Happy tracking! ✨</t>
        </is>
      </c>
    </row>
  </sheetData>
  <mergeCells count="6">
    <mergeCell ref="A1:J1"/>
    <mergeCell ref="B6:C6"/>
    <mergeCell ref="B2:C2"/>
    <mergeCell ref="B21:C21"/>
    <mergeCell ref="B14:C1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5.2" customWidth="1" min="1" max="1"/>
    <col width="19.2" customWidth="1" min="2" max="2"/>
    <col width="9.6" customWidth="1" min="3" max="3"/>
    <col width="16.8" customWidth="1" min="4" max="4"/>
    <col width="18" customWidth="1" min="5" max="5"/>
    <col width="2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10" t="inlineStr">
        <is>
          <t>📋 Monthly Purchases</t>
        </is>
      </c>
    </row>
    <row r="2" ht="10" customHeight="1"/>
    <row r="3">
      <c r="A3" s="11" t="inlineStr">
        <is>
          <t>Date</t>
        </is>
      </c>
      <c r="B3" s="11" t="inlineStr">
        <is>
          <t>Item</t>
        </is>
      </c>
      <c r="C3" s="11" t="inlineStr">
        <is>
          <t>Amount</t>
        </is>
      </c>
      <c r="D3" s="11" t="inlineStr">
        <is>
          <t>Type</t>
        </is>
      </c>
      <c r="E3" s="11" t="inlineStr">
        <is>
          <t>Category</t>
        </is>
      </c>
      <c r="F3" s="11" t="inlineStr">
        <is>
          <t>Notes</t>
        </is>
      </c>
    </row>
    <row r="4">
      <c r="A4" s="12" t="n">
        <v>45992</v>
      </c>
      <c r="B4" t="inlineStr">
        <is>
          <t>Netflix</t>
        </is>
      </c>
      <c r="C4" s="13" t="n">
        <v>15.99</v>
      </c>
      <c r="D4" t="inlineStr">
        <is>
          <t>Subscription</t>
        </is>
      </c>
      <c r="E4" t="inlineStr">
        <is>
          <t>Entertainment</t>
        </is>
      </c>
      <c r="F4" t="inlineStr">
        <is>
          <t>Monthly plan</t>
        </is>
      </c>
    </row>
    <row r="5">
      <c r="A5" s="12" t="n">
        <v>45996</v>
      </c>
      <c r="B5" t="inlineStr">
        <is>
          <t>Gym Membership</t>
        </is>
      </c>
      <c r="C5" s="13" t="n">
        <v>45</v>
      </c>
      <c r="D5" t="inlineStr">
        <is>
          <t>Subscription</t>
        </is>
      </c>
      <c r="E5" t="inlineStr">
        <is>
          <t>Health</t>
        </is>
      </c>
      <c r="F5" t="inlineStr">
        <is>
          <t>Monthly membership</t>
        </is>
      </c>
    </row>
    <row r="6">
      <c r="A6" s="12" t="n">
        <v>46001</v>
      </c>
      <c r="B6" t="inlineStr">
        <is>
          <t>Office Chair</t>
        </is>
      </c>
      <c r="C6" s="13" t="n">
        <v>199.99</v>
      </c>
      <c r="D6" t="inlineStr">
        <is>
          <t>One-Time</t>
        </is>
      </c>
      <c r="E6" t="inlineStr">
        <is>
          <t>Furniture</t>
        </is>
      </c>
      <c r="F6" t="inlineStr">
        <is>
          <t>Ergonomic chair</t>
        </is>
      </c>
    </row>
    <row r="7">
      <c r="A7" s="14" t="inlineStr">
        <is>
          <t>Total</t>
        </is>
      </c>
      <c r="C7" s="15" t="n">
        <v>260.98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5.6" customWidth="1" min="3" max="3"/>
    <col width="15.6" customWidth="1" min="4" max="4"/>
    <col width="24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</cols>
  <sheetData>
    <row r="1" ht="30" customHeight="1">
      <c r="A1" s="16" t="inlineStr">
        <is>
          <t>📊 Jan - Financial Overview</t>
        </is>
      </c>
    </row>
    <row r="2" ht="10" customHeight="1"/>
    <row r="3">
      <c r="A3" s="17" t="inlineStr">
        <is>
          <t>Category</t>
        </is>
      </c>
      <c r="B3" s="17" t="inlineStr">
        <is>
          <t>Planned</t>
        </is>
      </c>
      <c r="C3" s="17" t="inlineStr">
        <is>
          <t>Actual</t>
        </is>
      </c>
      <c r="D3" s="17" t="inlineStr">
        <is>
          <t>Difference</t>
        </is>
      </c>
      <c r="E3" s="17" t="inlineStr">
        <is>
          <t>% of Budget</t>
        </is>
      </c>
    </row>
    <row r="4">
      <c r="A4" t="inlineStr">
        <is>
          <t>Income</t>
        </is>
      </c>
      <c r="B4" t="n">
        <v>5000</v>
      </c>
      <c r="C4" t="n">
        <v>5200</v>
      </c>
      <c r="D4">
        <f>C4-B4</f>
        <v/>
      </c>
      <c r="E4">
        <f>C4/SUM(B4:B8)</f>
        <v/>
      </c>
    </row>
    <row r="5">
      <c r="A5" t="inlineStr">
        <is>
          <t>Expenses</t>
        </is>
      </c>
      <c r="B5" t="n">
        <v>3520</v>
      </c>
      <c r="C5" t="n">
        <v>3200</v>
      </c>
      <c r="D5">
        <f>C5-B5</f>
        <v/>
      </c>
      <c r="E5">
        <f>C5/SUM(B4:B8)</f>
        <v/>
      </c>
    </row>
    <row r="6">
      <c r="A6" t="inlineStr">
        <is>
          <t>Savings</t>
        </is>
      </c>
      <c r="B6" t="n">
        <v>1980</v>
      </c>
      <c r="C6" t="n">
        <v>1800</v>
      </c>
      <c r="D6">
        <f>C6-B6</f>
        <v/>
      </c>
      <c r="E6">
        <f>C6/SUM(B4:B8)</f>
        <v/>
      </c>
    </row>
    <row r="7">
      <c r="A7" t="inlineStr">
        <is>
          <t>Investments</t>
        </is>
      </c>
      <c r="B7" t="n">
        <v>500</v>
      </c>
      <c r="C7" t="n">
        <v>550</v>
      </c>
      <c r="D7">
        <f>C7-B7</f>
        <v/>
      </c>
      <c r="E7">
        <f>C7/SUM(B4:B8)</f>
        <v/>
      </c>
    </row>
    <row r="8">
      <c r="A8" t="inlineStr">
        <is>
          <t>Total</t>
        </is>
      </c>
      <c r="B8">
        <f>SUM(B4:B7)</f>
        <v/>
      </c>
      <c r="C8">
        <f>SUM(C4:C7)</f>
        <v/>
      </c>
      <c r="D8">
        <f>C8-B8</f>
        <v/>
      </c>
      <c r="E8">
        <f>C8/SUM(B4:B8)</f>
        <v/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s="18" t="inlineStr">
        <is>
          <t>Category</t>
        </is>
      </c>
      <c r="B25" s="18" t="inlineStr">
        <is>
          <t>Amount</t>
        </is>
      </c>
      <c r="C25" s="18" t="inlineStr">
        <is>
          <t>Target</t>
        </is>
      </c>
      <c r="D25" s="18" t="inlineStr">
        <is>
          <t>Variance</t>
        </is>
      </c>
      <c r="E25" s="18" t="inlineStr">
        <is>
          <t>% of Total</t>
        </is>
      </c>
    </row>
    <row r="26">
      <c r="A26" t="inlineStr">
        <is>
          <t>Housing</t>
        </is>
      </c>
      <c r="B26" t="n">
        <v>1200</v>
      </c>
      <c r="C26" t="n">
        <v>1100</v>
      </c>
      <c r="D26">
        <f>B2-C2</f>
        <v/>
      </c>
      <c r="E26">
        <f>B2/SUM($B$2:$B$7)</f>
        <v/>
      </c>
    </row>
    <row r="27">
      <c r="A27" t="inlineStr">
        <is>
          <t>Food</t>
        </is>
      </c>
      <c r="B27" t="n">
        <v>800</v>
      </c>
      <c r="C27" t="n">
        <v>700</v>
      </c>
      <c r="D27">
        <f>B3-C3</f>
        <v/>
      </c>
      <c r="E27">
        <f>B3/SUM($B$2:$B$7)</f>
        <v/>
      </c>
    </row>
    <row r="28">
      <c r="A28" t="inlineStr">
        <is>
          <t>Transportation</t>
        </is>
      </c>
      <c r="B28" t="n">
        <v>400</v>
      </c>
      <c r="C28" t="n">
        <v>450</v>
      </c>
      <c r="D28">
        <f>B4-C4</f>
        <v/>
      </c>
      <c r="E28">
        <f>B4/SUM($B$2:$B$7)</f>
        <v/>
      </c>
    </row>
    <row r="29">
      <c r="A29" t="inlineStr">
        <is>
          <t>Utilities</t>
        </is>
      </c>
      <c r="B29" t="n">
        <v>300</v>
      </c>
      <c r="C29" t="n">
        <v>350</v>
      </c>
      <c r="D29">
        <f>B5-C5</f>
        <v/>
      </c>
      <c r="E29">
        <f>B5/SUM($B$2:$B$7)</f>
        <v/>
      </c>
    </row>
    <row r="30">
      <c r="A30" t="inlineStr">
        <is>
          <t>Entertainment</t>
        </is>
      </c>
      <c r="B30" t="n">
        <v>300</v>
      </c>
      <c r="C30" t="n">
        <v>250</v>
      </c>
      <c r="D30">
        <f>B6-C6</f>
        <v/>
      </c>
      <c r="E30">
        <f>B6/SUM($B$2:$B$7)</f>
        <v/>
      </c>
    </row>
    <row r="31">
      <c r="A31" t="inlineStr">
        <is>
          <t>Others</t>
        </is>
      </c>
      <c r="B31" t="n">
        <v>200</v>
      </c>
      <c r="C31" t="n">
        <v>200</v>
      </c>
      <c r="D31">
        <f>B7-C7</f>
        <v/>
      </c>
      <c r="E31">
        <f>B7/SUM($B$2:$B$7)</f>
        <v/>
      </c>
    </row>
    <row r="32">
      <c r="A32" s="17" t="inlineStr">
        <is>
          <t>Total</t>
        </is>
      </c>
      <c r="B32" s="17">
        <f>SUM(B2:B7)</f>
        <v/>
      </c>
      <c r="C32" s="17">
        <f>SUM(C2:C7)</f>
        <v/>
      </c>
      <c r="D32" s="17">
        <f>SUM(D2:D7)</f>
        <v/>
      </c>
      <c r="E32" s="17">
        <f>SUM(E2:E7)</f>
        <v/>
      </c>
    </row>
    <row r="33"/>
    <row r="34"/>
    <row r="35"/>
    <row r="36"/>
    <row r="37"/>
    <row r="38"/>
    <row r="39"/>
    <row r="40"/>
    <row r="41"/>
    <row r="42"/>
    <row r="43"/>
    <row r="44"/>
    <row r="45">
      <c r="A45" s="19" t="inlineStr">
        <is>
          <t>Monthly Financial Trend</t>
        </is>
      </c>
    </row>
    <row r="46">
      <c r="A46" s="20" t="inlineStr">
        <is>
          <t>Month</t>
        </is>
      </c>
      <c r="B46" s="20" t="inlineStr">
        <is>
          <t>Income</t>
        </is>
      </c>
      <c r="C46" s="20" t="inlineStr">
        <is>
          <t>Expenses</t>
        </is>
      </c>
      <c r="D46" s="20" t="inlineStr">
        <is>
          <t>Savings</t>
        </is>
      </c>
    </row>
    <row r="47">
      <c r="A47" t="inlineStr">
        <is>
          <t>Jan</t>
        </is>
      </c>
      <c r="B47" s="21" t="n">
        <v>5000</v>
      </c>
      <c r="C47" s="21" t="n">
        <v>3200</v>
      </c>
      <c r="D47" s="21" t="n">
        <v>1800</v>
      </c>
    </row>
    <row r="48">
      <c r="A48" t="inlineStr">
        <is>
          <t>Feb</t>
        </is>
      </c>
      <c r="B48" s="21" t="n">
        <v>5100</v>
      </c>
      <c r="C48" s="21" t="n">
        <v>3250</v>
      </c>
      <c r="D48" s="21" t="n">
        <v>1850</v>
      </c>
    </row>
    <row r="49">
      <c r="A49" t="inlineStr">
        <is>
          <t>Mar</t>
        </is>
      </c>
      <c r="B49" s="21" t="n">
        <v>5200</v>
      </c>
      <c r="C49" s="21" t="n">
        <v>3300</v>
      </c>
      <c r="D49" s="21" t="n">
        <v>1900</v>
      </c>
    </row>
    <row r="50">
      <c r="A50" t="inlineStr">
        <is>
          <t>Apr</t>
        </is>
      </c>
      <c r="B50" s="21" t="n">
        <v>5300</v>
      </c>
      <c r="C50" s="21" t="n">
        <v>3350</v>
      </c>
      <c r="D50" s="21" t="n">
        <v>1950</v>
      </c>
    </row>
    <row r="51">
      <c r="A51" t="inlineStr">
        <is>
          <t>May</t>
        </is>
      </c>
      <c r="B51" s="21" t="n">
        <v>5400</v>
      </c>
      <c r="C51" s="21" t="n">
        <v>3400</v>
      </c>
      <c r="D51" s="21" t="n">
        <v>2000</v>
      </c>
    </row>
    <row r="52">
      <c r="A52" t="inlineStr">
        <is>
          <t>Jun</t>
        </is>
      </c>
      <c r="B52" s="21" t="n">
        <v>5500</v>
      </c>
      <c r="C52" s="21" t="n">
        <v>3450</v>
      </c>
      <c r="D52" s="21" t="n">
        <v>2050</v>
      </c>
    </row>
    <row r="53">
      <c r="A53" t="inlineStr">
        <is>
          <t>Jul</t>
        </is>
      </c>
      <c r="B53" s="21" t="n">
        <v>5600</v>
      </c>
      <c r="C53" s="21" t="n">
        <v>3500</v>
      </c>
      <c r="D53" s="21" t="n">
        <v>2100</v>
      </c>
    </row>
    <row r="54">
      <c r="A54" t="inlineStr">
        <is>
          <t>Aug</t>
        </is>
      </c>
      <c r="B54" s="21" t="n">
        <v>5700</v>
      </c>
      <c r="C54" s="21" t="n">
        <v>3550</v>
      </c>
      <c r="D54" s="21" t="n">
        <v>2150</v>
      </c>
    </row>
    <row r="55">
      <c r="A55" t="inlineStr">
        <is>
          <t>Sep</t>
        </is>
      </c>
      <c r="B55" s="21" t="n">
        <v>5800</v>
      </c>
      <c r="C55" s="21" t="n">
        <v>3600</v>
      </c>
      <c r="D55" s="21" t="n">
        <v>2200</v>
      </c>
    </row>
    <row r="56">
      <c r="A56" t="inlineStr">
        <is>
          <t>Oct</t>
        </is>
      </c>
      <c r="B56" s="21" t="n">
        <v>5900</v>
      </c>
      <c r="C56" s="21" t="n">
        <v>3650</v>
      </c>
      <c r="D56" s="21" t="n">
        <v>2250</v>
      </c>
    </row>
    <row r="57">
      <c r="A57" t="inlineStr">
        <is>
          <t>Nov</t>
        </is>
      </c>
      <c r="B57" s="21" t="n">
        <v>6000</v>
      </c>
      <c r="C57" s="21" t="n">
        <v>3700</v>
      </c>
      <c r="D57" s="21" t="n">
        <v>2300</v>
      </c>
    </row>
    <row r="58">
      <c r="A58" t="inlineStr">
        <is>
          <t>Dec</t>
        </is>
      </c>
      <c r="B58" s="21" t="n">
        <v>6100</v>
      </c>
      <c r="C58" s="21" t="n">
        <v>3750</v>
      </c>
      <c r="D58" s="21" t="n">
        <v>2350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9.6" customWidth="1" min="3" max="3"/>
    <col width="19.2" customWidth="1" min="4" max="4"/>
    <col width="19.2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22" t="inlineStr">
        <is>
          <t>Income Tracker</t>
        </is>
      </c>
    </row>
    <row r="2" ht="10" customHeight="1"/>
    <row r="3">
      <c r="A3" s="23" t="inlineStr">
        <is>
          <t>Date</t>
        </is>
      </c>
      <c r="B3" s="23" t="inlineStr">
        <is>
          <t>Source</t>
        </is>
      </c>
      <c r="C3" s="23" t="inlineStr">
        <is>
          <t>Amount</t>
        </is>
      </c>
      <c r="D3" s="23" t="inlineStr">
        <is>
          <t>Category</t>
        </is>
      </c>
      <c r="E3" s="23" t="inlineStr">
        <is>
          <t>Notes</t>
        </is>
      </c>
    </row>
    <row r="4">
      <c r="A4" s="12" t="n">
        <v>46020</v>
      </c>
      <c r="B4" t="inlineStr">
        <is>
          <t>Salary</t>
        </is>
      </c>
      <c r="C4" s="13" t="n">
        <v>3000</v>
      </c>
      <c r="D4" t="inlineStr">
        <is>
          <t>Primary Income</t>
        </is>
      </c>
      <c r="E4" t="inlineStr">
        <is>
          <t>Monthly salary</t>
        </is>
      </c>
    </row>
    <row r="5">
      <c r="A5" s="12" t="n">
        <v>46006</v>
      </c>
      <c r="B5" t="inlineStr">
        <is>
          <t>Freelance</t>
        </is>
      </c>
      <c r="C5" s="13" t="n">
        <v>1000</v>
      </c>
      <c r="D5" t="inlineStr">
        <is>
          <t>Side Hustle</t>
        </is>
      </c>
      <c r="E5" t="inlineStr">
        <is>
          <t>Project X</t>
        </is>
      </c>
    </row>
    <row r="6">
      <c r="A6" s="14" t="inlineStr">
        <is>
          <t>Total</t>
        </is>
      </c>
      <c r="C6" s="15" t="n">
        <v>4000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.4" customWidth="1" min="1" max="1"/>
    <col width="15.6" customWidth="1" min="2" max="2"/>
    <col width="9.6" customWidth="1" min="3" max="3"/>
    <col width="13.2" customWidth="1" min="4" max="4"/>
    <col width="19.2" customWidth="1" min="5" max="5"/>
    <col width="20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24" t="inlineStr">
        <is>
          <t>Expense Tracker</t>
        </is>
      </c>
    </row>
    <row r="2" ht="10" customHeight="1"/>
    <row r="3">
      <c r="A3" s="25" t="inlineStr">
        <is>
          <t>Date</t>
        </is>
      </c>
      <c r="B3" s="25" t="inlineStr">
        <is>
          <t>Description</t>
        </is>
      </c>
      <c r="C3" s="25" t="inlineStr">
        <is>
          <t>Amount</t>
        </is>
      </c>
      <c r="D3" s="25" t="inlineStr">
        <is>
          <t>Category</t>
        </is>
      </c>
      <c r="E3" s="25" t="inlineStr">
        <is>
          <t>Payment Method</t>
        </is>
      </c>
      <c r="F3" s="25" t="inlineStr">
        <is>
          <t>Notes</t>
        </is>
      </c>
    </row>
    <row r="4">
      <c r="A4" s="12" t="n">
        <v>46020</v>
      </c>
      <c r="B4" t="inlineStr">
        <is>
          <t>Groceries</t>
        </is>
      </c>
      <c r="C4" s="13" t="n">
        <v>150</v>
      </c>
      <c r="D4" t="inlineStr">
        <is>
          <t>Food</t>
        </is>
      </c>
      <c r="E4" t="inlineStr">
        <is>
          <t>Credit Card</t>
        </is>
      </c>
      <c r="F4" t="inlineStr">
        <is>
          <t>Weekly shopping</t>
        </is>
      </c>
    </row>
    <row r="5">
      <c r="A5" s="12" t="n">
        <v>46020</v>
      </c>
      <c r="B5" t="inlineStr">
        <is>
          <t>Electricity</t>
        </is>
      </c>
      <c r="C5" s="13" t="n">
        <v>80</v>
      </c>
      <c r="D5" t="inlineStr">
        <is>
          <t>Utilities</t>
        </is>
      </c>
      <c r="E5" t="inlineStr">
        <is>
          <t>Direct Debit</t>
        </is>
      </c>
      <c r="F5" t="inlineStr">
        <is>
          <t>Monthly bill</t>
        </is>
      </c>
    </row>
    <row r="6">
      <c r="A6" s="14" t="inlineStr">
        <is>
          <t>Total</t>
        </is>
      </c>
      <c r="C6" s="15" t="n">
        <v>230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.4" customWidth="1" min="1" max="1"/>
    <col width="19.2" customWidth="1" min="2" max="2"/>
    <col width="18" customWidth="1" min="3" max="3"/>
    <col width="19.2" customWidth="1" min="4" max="4"/>
    <col width="14.4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26" t="inlineStr">
        <is>
          <t>Savings Tracker</t>
        </is>
      </c>
    </row>
    <row r="2" ht="10" customHeight="1"/>
    <row r="3">
      <c r="A3" s="27" t="inlineStr">
        <is>
          <t>Date</t>
        </is>
      </c>
      <c r="B3" s="27" t="inlineStr">
        <is>
          <t>Goal</t>
        </is>
      </c>
      <c r="C3" s="27" t="inlineStr">
        <is>
          <t>Target Amount</t>
        </is>
      </c>
      <c r="D3" s="27" t="inlineStr">
        <is>
          <t>Current Amount</t>
        </is>
      </c>
      <c r="E3" s="27" t="inlineStr">
        <is>
          <t>% Complete</t>
        </is>
      </c>
    </row>
    <row r="4">
      <c r="A4" s="12" t="n">
        <v>46020</v>
      </c>
      <c r="B4" t="inlineStr">
        <is>
          <t>Emergency Fund</t>
        </is>
      </c>
      <c r="C4" s="13" t="n">
        <v>10000</v>
      </c>
      <c r="D4" s="13" t="n">
        <v>3500</v>
      </c>
      <c r="E4">
        <f>D2/C2</f>
        <v/>
      </c>
    </row>
    <row r="5">
      <c r="A5" s="14" t="inlineStr">
        <is>
          <t>Total</t>
        </is>
      </c>
      <c r="C5" s="15" t="n">
        <v>10000</v>
      </c>
      <c r="D5" s="15" t="n">
        <v>3500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9.2" customWidth="1" min="1" max="1"/>
    <col width="15.6" customWidth="1" min="2" max="2"/>
    <col width="14.4" customWidth="1" min="3" max="3"/>
    <col width="21.6" customWidth="1" min="4" max="4"/>
    <col width="2.4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28" t="inlineStr">
        <is>
          <t>Weight Tracker</t>
        </is>
      </c>
    </row>
    <row r="2" ht="10" customHeight="1"/>
    <row r="3">
      <c r="A3" s="29" t="inlineStr">
        <is>
          <t>Date</t>
        </is>
      </c>
      <c r="B3" s="29" t="inlineStr">
        <is>
          <t>Weight (kg)</t>
        </is>
      </c>
      <c r="C3" s="29" t="inlineStr">
        <is>
          <t>Body Fat %</t>
        </is>
      </c>
      <c r="D3" s="29" t="inlineStr">
        <is>
          <t>Notes</t>
        </is>
      </c>
    </row>
    <row r="4">
      <c r="A4" s="12" t="n">
        <v>46013</v>
      </c>
      <c r="B4" s="13" t="n">
        <v>75.5</v>
      </c>
      <c r="C4" s="13" t="n">
        <v>22</v>
      </c>
      <c r="D4" t="inlineStr">
        <is>
          <t>Started new diet</t>
        </is>
      </c>
    </row>
    <row r="5">
      <c r="A5" s="12" t="n">
        <v>46020</v>
      </c>
      <c r="B5" s="13" t="n">
        <v>74.8</v>
      </c>
      <c r="C5" s="13" t="n">
        <v>21.5</v>
      </c>
      <c r="D5" t="inlineStr">
        <is>
          <t>Feeling good!</t>
        </is>
      </c>
    </row>
    <row r="6">
      <c r="A6" s="14" t="inlineStr">
        <is>
          <t>Total</t>
        </is>
      </c>
      <c r="B6" s="15" t="n">
        <v>150.3</v>
      </c>
      <c r="C6" s="15" t="n">
        <v>43.5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.4" customWidth="1" min="3" max="3"/>
    <col width="18" customWidth="1" min="4" max="4"/>
    <col width="14.4" customWidth="1" min="5" max="5"/>
    <col width="10.8" customWidth="1" min="6" max="6"/>
    <col width="14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30" t="inlineStr">
        <is>
          <t>Habit Tracker</t>
        </is>
      </c>
    </row>
    <row r="2" ht="10" customHeight="1"/>
    <row r="3">
      <c r="A3" s="31" t="inlineStr">
        <is>
          <t>Date</t>
        </is>
      </c>
      <c r="B3" s="31" t="inlineStr">
        <is>
          <t>Exercise</t>
        </is>
      </c>
      <c r="C3" s="31" t="inlineStr">
        <is>
          <t>Water (glasses)</t>
        </is>
      </c>
      <c r="D3" s="31" t="inlineStr">
        <is>
          <t>Sleep (hours)</t>
        </is>
      </c>
      <c r="E3" s="31" t="inlineStr">
        <is>
          <t>Meditation</t>
        </is>
      </c>
      <c r="F3" s="31" t="inlineStr">
        <is>
          <t>Reading</t>
        </is>
      </c>
      <c r="G3" s="31" t="inlineStr">
        <is>
          <t>Notes</t>
        </is>
      </c>
    </row>
    <row r="4">
      <c r="A4" s="12" t="n">
        <v>46019</v>
      </c>
      <c r="B4" t="inlineStr">
        <is>
          <t>✓</t>
        </is>
      </c>
      <c r="C4" s="13" t="n">
        <v>8</v>
      </c>
      <c r="D4" s="13" t="n">
        <v>7.5</v>
      </c>
      <c r="E4" t="inlineStr">
        <is>
          <t>✓</t>
        </is>
      </c>
      <c r="F4" t="inlineStr">
        <is>
          <t>30 min</t>
        </is>
      </c>
      <c r="G4" t="inlineStr">
        <is>
          <t>Felt great</t>
        </is>
      </c>
    </row>
    <row r="5">
      <c r="A5" s="12" t="n">
        <v>46020</v>
      </c>
      <c r="B5" t="inlineStr">
        <is>
          <t>✓</t>
        </is>
      </c>
      <c r="C5" s="13" t="n">
        <v>6</v>
      </c>
      <c r="D5" s="13" t="n">
        <v>8</v>
      </c>
      <c r="E5" t="inlineStr">
        <is>
          <t>✓</t>
        </is>
      </c>
      <c r="F5" t="inlineStr">
        <is>
          <t>15 min</t>
        </is>
      </c>
      <c r="G5" t="inlineStr">
        <is>
          <t>Tired</t>
        </is>
      </c>
    </row>
    <row r="6">
      <c r="A6" s="14" t="inlineStr">
        <is>
          <t>Total</t>
        </is>
      </c>
      <c r="C6" s="15" t="n">
        <v>14</v>
      </c>
      <c r="D6" s="15" t="n">
        <v>15.5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 ht="30" customHeight="1">
      <c r="A1" s="16" t="inlineStr">
        <is>
          <t>🤖 AI-Powered Financial Insights</t>
        </is>
      </c>
    </row>
    <row r="2" ht="10" customHeight="1"/>
    <row r="3">
      <c r="A3" t="inlineStr">
        <is>
          <t>This section provides AI-generated insights based on your data:</t>
        </is>
      </c>
    </row>
    <row r="4">
      <c r="A4" t="inlineStr"/>
    </row>
    <row r="5">
      <c r="A5" s="32" t="inlineStr">
        <is>
          <t>🔍 To get started:</t>
        </is>
      </c>
    </row>
    <row r="6">
      <c r="A6" t="inlineStr">
        <is>
          <t>1. Fill in your financial data in the respective sheets</t>
        </is>
      </c>
    </row>
    <row r="7">
      <c r="A7" t="inlineStr">
        <is>
          <t>2. Click the 'Generate AI Insights' button in the app</t>
        </is>
      </c>
    </row>
    <row r="8">
      <c r="A8" t="inlineStr">
        <is>
          <t>3. Review personalized recommendations here</t>
        </is>
      </c>
    </row>
    <row r="9">
      <c r="A9" t="inlineStr"/>
    </row>
    <row r="10">
      <c r="A10" t="inlineStr">
        <is>
          <t>The AI will analyze your spending patterns, saving habits, and overall financial health to provide actionable advice.</t>
        </is>
      </c>
    </row>
    <row r="11">
      <c r="A11" t="inlineStr"/>
    </row>
    <row r="12">
      <c r="A12" s="32" t="inlineStr">
        <is>
          <t>💡 Tip: The more data you provide, the more accurate the insights will be!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0" customHeight="1">
      <c r="A1" s="33" t="inlineStr">
        <is>
          <t>📊 Dec - Financial Dashboard</t>
        </is>
      </c>
    </row>
    <row r="2" ht="25" customHeight="1">
      <c r="A2" s="34" t="inlineStr">
        <is>
          <t>Interactive Financial Insights &amp; Analytics</t>
        </is>
      </c>
    </row>
    <row r="3"/>
    <row r="4"/>
    <row r="5">
      <c r="A5" s="35" t="inlineStr">
        <is>
          <t>Monthly Income</t>
        </is>
      </c>
      <c r="C5" s="36" t="inlineStr">
        <is>
          <t>📈</t>
        </is>
      </c>
      <c r="D5" s="37" t="inlineStr">
        <is>
          <t>Monthly Expenses</t>
        </is>
      </c>
      <c r="F5" s="36" t="inlineStr">
        <is>
          <t>💹</t>
        </is>
      </c>
      <c r="G5" s="38" t="inlineStr">
        <is>
          <t>Monthly Savings</t>
        </is>
      </c>
      <c r="I5" s="36" t="inlineStr">
        <is>
          <t>📈</t>
        </is>
      </c>
      <c r="J5" s="39" t="inlineStr">
        <is>
          <t>Savings Rate</t>
        </is>
      </c>
      <c r="L5" s="36" t="inlineStr">
        <is>
          <t>💹</t>
        </is>
      </c>
    </row>
    <row r="6">
      <c r="A6" s="40" t="inlineStr">
        <is>
          <t>$10,300.00</t>
        </is>
      </c>
      <c r="D6" s="41" t="inlineStr">
        <is>
          <t>$7,400.00</t>
        </is>
      </c>
      <c r="G6" s="42" t="inlineStr">
        <is>
          <t>$2,900.00</t>
        </is>
      </c>
      <c r="J6" s="43" t="inlineStr">
        <is>
          <t>28.2%</t>
        </is>
      </c>
    </row>
    <row r="7">
      <c r="A7" s="44" t="n"/>
      <c r="D7" s="45" t="n"/>
      <c r="G7" s="46" t="n"/>
      <c r="J7" s="47" t="n"/>
    </row>
    <row r="8"/>
    <row r="9"/>
    <row r="10" ht="25" customHeight="1">
      <c r="A10" s="48" t="inlineStr">
        <is>
          <t>Weekly Financial Trends</t>
        </is>
      </c>
    </row>
    <row r="11"/>
    <row r="12">
      <c r="A12" s="18" t="inlineStr">
        <is>
          <t>Week</t>
        </is>
      </c>
      <c r="B12" s="18" t="inlineStr">
        <is>
          <t>Income</t>
        </is>
      </c>
      <c r="C12" s="18" t="inlineStr">
        <is>
          <t>Expenses</t>
        </is>
      </c>
      <c r="D12" s="18" t="inlineStr">
        <is>
          <t>Savings</t>
        </is>
      </c>
    </row>
    <row r="13">
      <c r="A13" t="inlineStr">
        <is>
          <t>Week 1</t>
        </is>
      </c>
      <c r="B13" t="n">
        <v>2500</v>
      </c>
      <c r="C13" t="n">
        <v>1800</v>
      </c>
      <c r="D13" t="n">
        <v>700</v>
      </c>
    </row>
    <row r="14">
      <c r="A14" t="inlineStr">
        <is>
          <t>Week 2</t>
        </is>
      </c>
      <c r="B14" t="n">
        <v>2800</v>
      </c>
      <c r="C14" t="n">
        <v>2000</v>
      </c>
      <c r="D14" t="n">
        <v>800</v>
      </c>
    </row>
    <row r="15">
      <c r="A15" t="inlineStr">
        <is>
          <t>Week 3</t>
        </is>
      </c>
      <c r="B15" t="n">
        <v>2400</v>
      </c>
      <c r="C15" t="n">
        <v>1700</v>
      </c>
      <c r="D15" t="n">
        <v>700</v>
      </c>
    </row>
    <row r="16">
      <c r="A16" t="inlineStr">
        <is>
          <t>Week 4</t>
        </is>
      </c>
      <c r="B16" t="n">
        <v>2600</v>
      </c>
      <c r="C16" t="n">
        <v>1900</v>
      </c>
      <c r="D16" t="n">
        <v>700</v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 ht="25" customHeight="1">
      <c r="A31" s="48" t="inlineStr">
        <is>
          <t>Expense Breakdown</t>
        </is>
      </c>
    </row>
    <row r="32"/>
    <row r="33">
      <c r="A33" t="inlineStr">
        <is>
          <t>Housing</t>
        </is>
      </c>
      <c r="B33" t="n">
        <v>1200</v>
      </c>
    </row>
    <row r="34">
      <c r="A34" t="inlineStr">
        <is>
          <t>Food</t>
        </is>
      </c>
      <c r="B34" t="n">
        <v>800</v>
      </c>
    </row>
    <row r="35">
      <c r="A35" t="inlineStr">
        <is>
          <t>Transportation</t>
        </is>
      </c>
      <c r="B35" t="n">
        <v>400</v>
      </c>
    </row>
    <row r="36">
      <c r="A36" t="inlineStr">
        <is>
          <t>Utilities</t>
        </is>
      </c>
      <c r="B36" t="n">
        <v>300</v>
      </c>
    </row>
    <row r="37">
      <c r="A37" t="inlineStr">
        <is>
          <t>Entertainment</t>
        </is>
      </c>
      <c r="B37" t="n">
        <v>300</v>
      </c>
    </row>
    <row r="38">
      <c r="A38" t="inlineStr">
        <is>
          <t>Others</t>
        </is>
      </c>
      <c r="B38" t="n">
        <v>200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 ht="25" customHeight="1">
      <c r="A53" s="48" t="inlineStr">
        <is>
          <t>Budget vs Actual Spending</t>
        </is>
      </c>
    </row>
    <row r="54"/>
    <row r="55">
      <c r="A55" s="18" t="inlineStr">
        <is>
          <t>Category</t>
        </is>
      </c>
      <c r="B55" s="18" t="inlineStr">
        <is>
          <t>Budget</t>
        </is>
      </c>
      <c r="C55" s="18" t="inlineStr">
        <is>
          <t>Actual</t>
        </is>
      </c>
      <c r="D55" s="18" t="inlineStr">
        <is>
          <t>Variance</t>
        </is>
      </c>
    </row>
    <row r="56">
      <c r="A56" t="inlineStr">
        <is>
          <t>Housing</t>
        </is>
      </c>
      <c r="B56" t="n">
        <v>1100</v>
      </c>
      <c r="C56" t="n">
        <v>1200</v>
      </c>
      <c r="D56">
        <f>C2-B2</f>
        <v/>
      </c>
    </row>
    <row r="57">
      <c r="A57" t="inlineStr">
        <is>
          <t>Food</t>
        </is>
      </c>
      <c r="B57" t="n">
        <v>700</v>
      </c>
      <c r="C57" t="n">
        <v>800</v>
      </c>
      <c r="D57">
        <f>C3-B3</f>
        <v/>
      </c>
    </row>
    <row r="58">
      <c r="A58" t="inlineStr">
        <is>
          <t>Transport</t>
        </is>
      </c>
      <c r="B58" t="n">
        <v>450</v>
      </c>
      <c r="C58" t="n">
        <v>400</v>
      </c>
      <c r="D58">
        <f>C4-B4</f>
        <v/>
      </c>
    </row>
    <row r="59">
      <c r="A59" t="inlineStr">
        <is>
          <t>Utilities</t>
        </is>
      </c>
      <c r="B59" t="n">
        <v>350</v>
      </c>
      <c r="C59" t="n">
        <v>300</v>
      </c>
      <c r="D59">
        <f>C5-B5</f>
        <v/>
      </c>
    </row>
    <row r="60">
      <c r="A60" t="inlineStr">
        <is>
          <t>Entertainment</t>
        </is>
      </c>
      <c r="B60" t="n">
        <v>250</v>
      </c>
      <c r="C60" t="n">
        <v>300</v>
      </c>
      <c r="D60">
        <f>C6-B6</f>
        <v/>
      </c>
    </row>
    <row r="61">
      <c r="A61" t="inlineStr">
        <is>
          <t>Others</t>
        </is>
      </c>
      <c r="B61" t="n">
        <v>200</v>
      </c>
      <c r="C61" t="n">
        <v>200</v>
      </c>
      <c r="D61">
        <f>C7-B7</f>
        <v/>
      </c>
    </row>
    <row r="82">
      <c r="A82" s="49" t="inlineStr">
        <is>
          <t>Generated on 2025-12-29 20:03 • Life &amp; Budget Dashboard</t>
        </is>
      </c>
    </row>
  </sheetData>
  <mergeCells count="18">
    <mergeCell ref="D6:E6"/>
    <mergeCell ref="A1:J1"/>
    <mergeCell ref="D7:E7"/>
    <mergeCell ref="A7:B7"/>
    <mergeCell ref="G7:H7"/>
    <mergeCell ref="J5:K5"/>
    <mergeCell ref="J6:K6"/>
    <mergeCell ref="A31:J31"/>
    <mergeCell ref="A82:J82"/>
    <mergeCell ref="D5:E5"/>
    <mergeCell ref="A5:B5"/>
    <mergeCell ref="G5:H5"/>
    <mergeCell ref="J7:K7"/>
    <mergeCell ref="A53:J53"/>
    <mergeCell ref="G6:H6"/>
    <mergeCell ref="A2:J2"/>
    <mergeCell ref="A10:J10"/>
    <mergeCell ref="A6:B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2025-12-29T17:03:37Z</dcterms:created>
  <dcterms:modified xmlns:dcterms="http://purl.org/dc/terms/" xmlns:xsi="http://www.w3.org/2001/XMLSchema-instance" xsi:type="dcterms:W3CDTF">2025-12-29T17:03:38Z</dcterms:modified>
</cp:coreProperties>
</file>