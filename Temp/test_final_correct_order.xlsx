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Income Tracker" sheetId="5" state="visible" r:id="rId5"/>
    <sheet xmlns:r="http://schemas.openxmlformats.org/officeDocument/2006/relationships" name="Expense Tracker" sheetId="6" state="visible" r:id="rId6"/>
    <sheet xmlns:r="http://schemas.openxmlformats.org/officeDocument/2006/relationships" name="Savings Tracker" sheetId="7" state="visible" r:id="rId7"/>
    <sheet xmlns:r="http://schemas.openxmlformats.org/officeDocument/2006/relationships" name="Weight Tracker" sheetId="8" state="visible" r:id="rId8"/>
    <sheet xmlns:r="http://schemas.openxmlformats.org/officeDocument/2006/relationships" name="AI 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name val="Calibri"/>
      <b val="1"/>
      <color rgb="00FFFFFF"/>
      <sz val="20"/>
    </font>
    <font>
      <name val="Calibri"/>
      <i val="1"/>
      <color rgb="006f42c1"/>
      <sz val="12"/>
    </font>
    <font>
      <b val="1"/>
      <color rgb="004CAF50"/>
      <sz val="11"/>
    </font>
    <font>
      <b val="1"/>
      <color rgb="004CAF50"/>
      <sz val="14"/>
    </font>
    <font>
      <b val="1"/>
      <color rgb="00F44336"/>
      <sz val="11"/>
    </font>
    <font>
      <b val="1"/>
      <color rgb="00F44336"/>
      <sz val="14"/>
    </font>
    <font>
      <b val="1"/>
      <color rgb="002196F3"/>
      <sz val="11"/>
    </font>
    <font>
      <b val="1"/>
      <color rgb="002196F3"/>
      <sz val="14"/>
    </font>
    <font>
      <b val="1"/>
      <color rgb="009C27B0"/>
      <sz val="11"/>
    </font>
    <font>
      <b val="1"/>
      <color rgb="009C27B0"/>
      <sz val="14"/>
    </font>
    <font>
      <b val="1"/>
      <color rgb="00FFFFFF"/>
      <sz val="14"/>
    </font>
    <font>
      <i val="1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FDAB9"/>
        <bgColor rgb="00FFDAB9"/>
      </patternFill>
    </fill>
    <fill>
      <patternFill patternType="solid">
        <fgColor rgb="00F2E6FF"/>
        <bgColor rgb="00F2E6FF"/>
      </patternFill>
    </fill>
    <fill>
      <patternFill patternType="solid">
        <fgColor rgb="4CAF5020"/>
        <bgColor rgb="4CAF5020"/>
      </patternFill>
    </fill>
    <fill>
      <patternFill patternType="solid">
        <fgColor rgb="4CAF5040"/>
        <bgColor rgb="4CAF5040"/>
      </patternFill>
    </fill>
    <fill>
      <patternFill patternType="solid">
        <fgColor rgb="F4433620"/>
        <bgColor rgb="F4433620"/>
      </patternFill>
    </fill>
    <fill>
      <patternFill patternType="solid">
        <fgColor rgb="F4433640"/>
        <bgColor rgb="F4433640"/>
      </patternFill>
    </fill>
    <fill>
      <patternFill patternType="solid">
        <fgColor rgb="2196F320"/>
        <bgColor rgb="2196F320"/>
      </patternFill>
    </fill>
    <fill>
      <patternFill patternType="solid">
        <fgColor rgb="2196F340"/>
        <bgColor rgb="2196F340"/>
      </patternFill>
    </fill>
    <fill>
      <patternFill patternType="solid">
        <fgColor rgb="9C27B020"/>
        <bgColor rgb="9C27B020"/>
      </patternFill>
    </fill>
    <fill>
      <patternFill patternType="solid">
        <fgColor rgb="9C27B040"/>
        <bgColor rgb="9C27B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8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10" borderId="0" pivotButton="0" quotePrefix="0" xfId="0"/>
    <xf numFmtId="0" fontId="0" fillId="0" borderId="0" applyAlignment="1" pivotButton="0" quotePrefix="0" xfId="0">
      <alignment horizontal="right"/>
    </xf>
    <xf numFmtId="0" fontId="23" fillId="12" borderId="0" pivotButton="0" quotePrefix="0" xfId="0"/>
    <xf numFmtId="0" fontId="25" fillId="14" borderId="0" pivotButton="0" quotePrefix="0" xfId="0"/>
    <xf numFmtId="0" fontId="27" fillId="16" borderId="0" pivotButton="0" quotePrefix="0" xfId="0"/>
    <xf numFmtId="0" fontId="22" fillId="9" borderId="0" applyAlignment="1" pivotButton="0" quotePrefix="0" xfId="0">
      <alignment horizontal="center"/>
    </xf>
    <xf numFmtId="0" fontId="24" fillId="11" borderId="0" applyAlignment="1" pivotButton="0" quotePrefix="0" xfId="0">
      <alignment horizontal="center"/>
    </xf>
    <xf numFmtId="0" fontId="26" fillId="13" borderId="0" applyAlignment="1" pivotButton="0" quotePrefix="0" xfId="0">
      <alignment horizontal="center"/>
    </xf>
    <xf numFmtId="0" fontId="28" fillId="15" borderId="0" applyAlignment="1" pivotButton="0" quotePrefix="0" xfId="0">
      <alignment horizontal="center"/>
    </xf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1" fillId="7" borderId="0" applyAlignment="1" pivotButton="0" quotePrefix="0" xfId="0">
      <alignment horizontal="center"/>
    </xf>
    <xf numFmtId="0" fontId="5" fillId="7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Weekly Financial Trend</a:t>
            </a:r>
          </a:p>
        </rich>
      </tx>
    </title>
    <plotArea>
      <lineChart>
        <grouping val="standard"/>
        <ser>
          <idx val="0"/>
          <order val="0"/>
          <tx>
            <v>Income</v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'Dashboard'!$B$50:$B$53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'Dashboard'!$C$50:$C$53</f>
            </numRef>
          </val>
        </ser>
        <ser>
          <idx val="2"/>
          <order val="2"/>
          <tx>
            <v>Savings</v>
          </tx>
          <spPr>
            <a:ln xmlns:a="http://schemas.openxmlformats.org/drawingml/2006/main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'Dashboard'!$D$50:$D$53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ser>
          <idx val="1"/>
          <order val="1"/>
          <tx>
            <strRef>
              <f>'Dashboard'!C3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'Dashboard'!$C$4:$C$6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Expenses Breakdown</a:t>
            </a:r>
          </a:p>
        </rich>
      </tx>
    </title>
    <plotArea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'Dashboard'!$A$26:$A$31</f>
            </numRef>
          </cat>
          <val>
            <numRef>
              <f>'Dashboard'!$B$26:$B$31</f>
            </numRef>
          </val>
        </ser>
        <dLbls>
          <showVal val="0"/>
          <showCatName val="1"/>
          <showPercent val="1"/>
        </dLbls>
      </pie3DChart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Budget Distribution</a:t>
            </a:r>
          </a:p>
        </rich>
      </tx>
    </title>
    <plotArea>
      <pie3DChart>
        <varyColors val="1"/>
        <ser>
          <idx val="0"/>
          <order val="0"/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dLbls>
          <showVal val="0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Financial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 w="3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'Charts'!$B$13:$B$16</f>
            </numRef>
          </val>
        </ser>
        <ser>
          <idx val="1"/>
          <order val="1"/>
          <tx>
            <strRef>
              <f>'Charts'!C12</f>
            </strRef>
          </tx>
          <spPr>
            <a:ln xmlns:a="http://schemas.openxmlformats.org/drawingml/2006/main" w="3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'Charts'!$C$13:$C$16</f>
            </numRef>
          </val>
        </ser>
        <ser>
          <idx val="2"/>
          <order val="2"/>
          <tx>
            <strRef>
              <f>'Charts'!D12</f>
            </strRef>
          </tx>
          <spPr>
            <a:ln xmlns:a="http://schemas.openxmlformats.org/drawingml/2006/main" w="3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'Charts'!$D$13:$D$16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pie3DChart>
        <varyColors val="1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'Charts'!$A$33:$A$38</f>
            </numRef>
          </cat>
          <val>
            <numRef>
              <f>'Charts'!$B$33:$B$38</f>
            </numRef>
          </val>
        </ser>
        <dLbls>
          <showVal val="1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'Charts'!$B$56:$B$60</f>
            </numRef>
          </val>
        </ser>
        <ser>
          <idx val="1"/>
          <order val="1"/>
          <tx>
            <strRef>
              <f>'Charts'!C55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'Charts'!$C$56:$C$60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Weight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Body Fat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24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17</row>
      <rowOff>0</rowOff>
    </from>
    <ext cx="90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32</row>
      <rowOff>0</rowOff>
    </from>
    <ext cx="900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900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22" t="inlineStr">
        <is>
          <t>📊 Dec - Financial Dashboard</t>
        </is>
      </c>
    </row>
    <row r="2" ht="25" customHeight="1">
      <c r="A2" s="23" t="inlineStr">
        <is>
          <t>Interactive Financial Insights &amp; Analytics</t>
        </is>
      </c>
    </row>
    <row r="3"/>
    <row r="4"/>
    <row r="5" ht="15" customHeight="1">
      <c r="A5" s="24" t="inlineStr">
        <is>
          <t>Monthly Income</t>
        </is>
      </c>
      <c r="C5" s="25" t="inlineStr">
        <is>
          <t>📈</t>
        </is>
      </c>
      <c r="D5" s="26" t="inlineStr">
        <is>
          <t>Monthly Expenses</t>
        </is>
      </c>
      <c r="F5" s="25" t="inlineStr">
        <is>
          <t>💹</t>
        </is>
      </c>
      <c r="G5" s="27" t="inlineStr">
        <is>
          <t>Monthly Savings</t>
        </is>
      </c>
      <c r="I5" s="25" t="inlineStr">
        <is>
          <t>📈</t>
        </is>
      </c>
      <c r="J5" s="28" t="inlineStr">
        <is>
          <t>Savings Rate</t>
        </is>
      </c>
      <c r="L5" s="25" t="inlineStr">
        <is>
          <t>💹</t>
        </is>
      </c>
    </row>
    <row r="6" ht="15" customHeight="1">
      <c r="A6" s="29" t="inlineStr">
        <is>
          <t>$10,300.00</t>
        </is>
      </c>
      <c r="D6" s="30" t="inlineStr">
        <is>
          <t>$7,400.00</t>
        </is>
      </c>
      <c r="G6" s="31" t="inlineStr">
        <is>
          <t>$2,900.00</t>
        </is>
      </c>
      <c r="J6" s="32" t="inlineStr">
        <is>
          <t>28.2%</t>
        </is>
      </c>
    </row>
    <row r="7" ht="15" customHeight="1">
      <c r="A7" s="33" t="n"/>
      <c r="D7" s="34" t="n"/>
      <c r="G7" s="35" t="n"/>
      <c r="J7" s="36" t="n"/>
    </row>
    <row r="8" ht="15" customHeight="1"/>
    <row r="9" ht="15" customHeight="1"/>
    <row r="10" ht="25" customHeight="1">
      <c r="A10" s="37" t="inlineStr">
        <is>
          <t>Weekly Financial Trends</t>
        </is>
      </c>
    </row>
    <row r="11"/>
    <row r="12">
      <c r="A12" s="18" t="inlineStr">
        <is>
          <t>Week</t>
        </is>
      </c>
      <c r="B12" s="18" t="inlineStr">
        <is>
          <t>Income</t>
        </is>
      </c>
      <c r="C12" s="18" t="inlineStr">
        <is>
          <t>Expenses</t>
        </is>
      </c>
      <c r="D12" s="18" t="inlineStr">
        <is>
          <t>Savings</t>
        </is>
      </c>
    </row>
    <row r="13">
      <c r="A13" t="inlineStr">
        <is>
          <t>Week 1</t>
        </is>
      </c>
      <c r="B13" t="n">
        <v>2500</v>
      </c>
      <c r="C13" t="n">
        <v>1800</v>
      </c>
      <c r="D13" t="n">
        <v>700</v>
      </c>
    </row>
    <row r="14">
      <c r="A14" t="inlineStr">
        <is>
          <t>Week 2</t>
        </is>
      </c>
      <c r="B14" t="n">
        <v>2800</v>
      </c>
      <c r="C14" t="n">
        <v>2000</v>
      </c>
      <c r="D14" t="n">
        <v>800</v>
      </c>
    </row>
    <row r="15">
      <c r="A15" t="inlineStr">
        <is>
          <t>Week 3</t>
        </is>
      </c>
      <c r="B15" t="n">
        <v>2400</v>
      </c>
      <c r="C15" t="n">
        <v>1700</v>
      </c>
      <c r="D15" t="n">
        <v>700</v>
      </c>
    </row>
    <row r="16">
      <c r="A16" t="inlineStr">
        <is>
          <t>Week 4</t>
        </is>
      </c>
      <c r="B16" t="n">
        <v>2600</v>
      </c>
      <c r="C16" t="n">
        <v>1900</v>
      </c>
      <c r="D16" t="n">
        <v>700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25" customHeight="1">
      <c r="A31" s="37" t="inlineStr">
        <is>
          <t>Expense Breakdown</t>
        </is>
      </c>
    </row>
    <row r="32"/>
    <row r="33">
      <c r="A33" t="inlineStr">
        <is>
          <t>Housing</t>
        </is>
      </c>
      <c r="B33" t="n">
        <v>1200</v>
      </c>
    </row>
    <row r="34">
      <c r="A34" t="inlineStr">
        <is>
          <t>Food</t>
        </is>
      </c>
      <c r="B34" t="n">
        <v>800</v>
      </c>
    </row>
    <row r="35">
      <c r="A35" t="inlineStr">
        <is>
          <t>Transportation</t>
        </is>
      </c>
      <c r="B35" t="n">
        <v>400</v>
      </c>
    </row>
    <row r="36">
      <c r="A36" t="inlineStr">
        <is>
          <t>Utilities</t>
        </is>
      </c>
      <c r="B36" t="n">
        <v>300</v>
      </c>
    </row>
    <row r="37">
      <c r="A37" t="inlineStr">
        <is>
          <t>Entertainment</t>
        </is>
      </c>
      <c r="B37" t="n">
        <v>300</v>
      </c>
    </row>
    <row r="38">
      <c r="A38" t="inlineStr">
        <is>
          <t>Others</t>
        </is>
      </c>
      <c r="B38" t="n">
        <v>200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5" customHeight="1">
      <c r="A53" s="37" t="inlineStr">
        <is>
          <t>Budget vs Actual Spending</t>
        </is>
      </c>
    </row>
    <row r="54"/>
    <row r="55">
      <c r="A55" s="18" t="inlineStr">
        <is>
          <t>Category</t>
        </is>
      </c>
      <c r="B55" s="18" t="inlineStr">
        <is>
          <t>Budget</t>
        </is>
      </c>
      <c r="C55" s="18" t="inlineStr">
        <is>
          <t>Actual</t>
        </is>
      </c>
      <c r="D55" s="18" t="inlineStr">
        <is>
          <t>Variance</t>
        </is>
      </c>
    </row>
    <row r="56">
      <c r="A56" t="inlineStr">
        <is>
          <t>Housing</t>
        </is>
      </c>
      <c r="B56" t="n">
        <v>1100</v>
      </c>
      <c r="C56" t="n">
        <v>1200</v>
      </c>
      <c r="D56">
        <f>C2-B2</f>
        <v/>
      </c>
    </row>
    <row r="57">
      <c r="A57" t="inlineStr">
        <is>
          <t>Food</t>
        </is>
      </c>
      <c r="B57" t="n">
        <v>700</v>
      </c>
      <c r="C57" t="n">
        <v>800</v>
      </c>
      <c r="D57">
        <f>C3-B3</f>
        <v/>
      </c>
    </row>
    <row r="58">
      <c r="A58" t="inlineStr">
        <is>
          <t>Transport</t>
        </is>
      </c>
      <c r="B58" t="n">
        <v>450</v>
      </c>
      <c r="C58" t="n">
        <v>400</v>
      </c>
      <c r="D58">
        <f>C4-B4</f>
        <v/>
      </c>
    </row>
    <row r="59">
      <c r="A59" t="inlineStr">
        <is>
          <t>Utilities</t>
        </is>
      </c>
      <c r="B59" t="n">
        <v>350</v>
      </c>
      <c r="C59" t="n">
        <v>300</v>
      </c>
      <c r="D59">
        <f>C5-B5</f>
        <v/>
      </c>
    </row>
    <row r="60">
      <c r="A60" t="inlineStr">
        <is>
          <t>Entertainment</t>
        </is>
      </c>
      <c r="B60" t="n">
        <v>250</v>
      </c>
      <c r="C60" t="n">
        <v>300</v>
      </c>
      <c r="D60">
        <f>C6-B6</f>
        <v/>
      </c>
    </row>
    <row r="61">
      <c r="A61" t="inlineStr">
        <is>
          <t>Others</t>
        </is>
      </c>
      <c r="B61" t="n">
        <v>200</v>
      </c>
      <c r="C61" t="n">
        <v>200</v>
      </c>
      <c r="D61">
        <f>C7-B7</f>
        <v/>
      </c>
    </row>
    <row r="82">
      <c r="A82" s="38" t="inlineStr">
        <is>
          <t>Generated on 2025-12-29 20:12 • Life &amp; Budget Dashboard</t>
        </is>
      </c>
    </row>
  </sheetData>
  <mergeCells count="18">
    <mergeCell ref="D6:E6"/>
    <mergeCell ref="A1:J1"/>
    <mergeCell ref="D7:E7"/>
    <mergeCell ref="A7:B7"/>
    <mergeCell ref="G7:H7"/>
    <mergeCell ref="J5:K5"/>
    <mergeCell ref="J6:K6"/>
    <mergeCell ref="A31:J31"/>
    <mergeCell ref="A82:J82"/>
    <mergeCell ref="D5:E5"/>
    <mergeCell ref="A5:B5"/>
    <mergeCell ref="G5:H5"/>
    <mergeCell ref="J7:K7"/>
    <mergeCell ref="A53:J53"/>
    <mergeCell ref="G6:H6"/>
    <mergeCell ref="A2:J2"/>
    <mergeCell ref="A10:J10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39" t="inlineStr">
        <is>
          <t>Income Tracker</t>
        </is>
      </c>
    </row>
    <row r="2" ht="10" customHeight="1"/>
    <row r="3">
      <c r="A3" s="40" t="inlineStr">
        <is>
          <t>Date</t>
        </is>
      </c>
      <c r="B3" s="40" t="inlineStr">
        <is>
          <t>Source</t>
        </is>
      </c>
      <c r="C3" s="40" t="inlineStr">
        <is>
          <t>Amount</t>
        </is>
      </c>
      <c r="D3" s="40" t="inlineStr">
        <is>
          <t>Category</t>
        </is>
      </c>
      <c r="E3" s="40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1" t="inlineStr">
        <is>
          <t>Expense Tracker</t>
        </is>
      </c>
    </row>
    <row r="2" ht="10" customHeight="1"/>
    <row r="3">
      <c r="A3" s="42" t="inlineStr">
        <is>
          <t>Date</t>
        </is>
      </c>
      <c r="B3" s="42" t="inlineStr">
        <is>
          <t>Description</t>
        </is>
      </c>
      <c r="C3" s="42" t="inlineStr">
        <is>
          <t>Amount</t>
        </is>
      </c>
      <c r="D3" s="42" t="inlineStr">
        <is>
          <t>Category</t>
        </is>
      </c>
      <c r="E3" s="42" t="inlineStr">
        <is>
          <t>Payment Method</t>
        </is>
      </c>
      <c r="F3" s="42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3" t="inlineStr">
        <is>
          <t>Savings Tracker</t>
        </is>
      </c>
    </row>
    <row r="2" ht="10" customHeight="1"/>
    <row r="3">
      <c r="A3" s="44" t="inlineStr">
        <is>
          <t>Date</t>
        </is>
      </c>
      <c r="B3" s="44" t="inlineStr">
        <is>
          <t>Goal</t>
        </is>
      </c>
      <c r="C3" s="44" t="inlineStr">
        <is>
          <t>Target Amount</t>
        </is>
      </c>
      <c r="D3" s="44" t="inlineStr">
        <is>
          <t>Current Amount</t>
        </is>
      </c>
      <c r="E3" s="44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21.6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5" t="inlineStr">
        <is>
          <t>Weight Tracker</t>
        </is>
      </c>
    </row>
    <row r="2" ht="10" customHeight="1"/>
    <row r="3">
      <c r="A3" s="46" t="inlineStr">
        <is>
          <t>Date</t>
        </is>
      </c>
      <c r="B3" s="46" t="inlineStr">
        <is>
          <t>Weight (kg)</t>
        </is>
      </c>
      <c r="C3" s="46" t="inlineStr">
        <is>
          <t>Body Fat %</t>
        </is>
      </c>
      <c r="D3" s="46" t="inlineStr">
        <is>
          <t>Notes</t>
        </is>
      </c>
    </row>
    <row r="4">
      <c r="A4" s="12" t="n">
        <v>46013</v>
      </c>
      <c r="B4" s="13" t="n">
        <v>75.5</v>
      </c>
      <c r="C4" s="13" t="n">
        <v>22</v>
      </c>
      <c r="D4" t="inlineStr">
        <is>
          <t>Started new diet</t>
        </is>
      </c>
    </row>
    <row r="5">
      <c r="A5" s="12" t="n">
        <v>46020</v>
      </c>
      <c r="B5" s="13" t="n">
        <v>74.8</v>
      </c>
      <c r="C5" s="13" t="n">
        <v>21.5</v>
      </c>
      <c r="D5" t="inlineStr">
        <is>
          <t>Feeling good!</t>
        </is>
      </c>
    </row>
    <row r="6">
      <c r="A6" s="14" t="inlineStr">
        <is>
          <t>Total</t>
        </is>
      </c>
      <c r="B6" s="15" t="n">
        <v>150.3</v>
      </c>
      <c r="C6" s="15" t="n">
        <v>43.5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47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47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2025-12-29T17:12:54Z</dcterms:created>
  <dcterms:modified xmlns:dcterms="http://purl.org/dc/terms/" xmlns:xsi="http://www.w3.org/2001/XMLSchema-instance" xsi:type="dcterms:W3CDTF">2025-12-29T17:12:54Z</dcterms:modified>
</cp:coreProperties>
</file>