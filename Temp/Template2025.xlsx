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nthonygathukia/Desktop/Me/Finance Folder's/"/>
    </mc:Choice>
  </mc:AlternateContent>
  <xr:revisionPtr revIDLastSave="0" documentId="13_ncr:1_{5A08A3E5-FD1D-1A41-B3B1-B2CCE779972B}" xr6:coauthVersionLast="47" xr6:coauthVersionMax="47" xr10:uidLastSave="{00000000-0000-0000-0000-000000000000}"/>
  <bookViews>
    <workbookView xWindow="-31880" yWindow="3260" windowWidth="28800" windowHeight="17500" activeTab="3" xr2:uid="{00000000-000D-0000-FFFF-FFFF00000000}"/>
  </bookViews>
  <sheets>
    <sheet name="Welcome Guide" sheetId="1" r:id="rId1"/>
    <sheet name="Dashboard" sheetId="2" r:id="rId2"/>
    <sheet name="Income Tracker" sheetId="3" r:id="rId3"/>
    <sheet name="Expense Tracker" sheetId="4" r:id="rId4"/>
    <sheet name="Savings Tracker" sheetId="5" r:id="rId5"/>
    <sheet name="Stock Tracker" sheetId="6" r:id="rId6"/>
    <sheet name="Weight Tracker" sheetId="7" r:id="rId7"/>
    <sheet name="AI Insights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E7" i="2"/>
  <c r="B6" i="2"/>
  <c r="B8" i="2" s="1"/>
  <c r="E5" i="5"/>
  <c r="E4" i="5"/>
  <c r="H4" i="6"/>
  <c r="F4" i="6"/>
  <c r="D11" i="5"/>
  <c r="C6" i="2" s="1"/>
  <c r="E6" i="2" s="1"/>
  <c r="C11" i="5"/>
  <c r="C10" i="3"/>
  <c r="C4" i="2" s="1"/>
  <c r="G4" i="6"/>
  <c r="C47" i="4" l="1"/>
  <c r="C5" i="2" s="1"/>
  <c r="D4" i="2"/>
  <c r="E4" i="2"/>
  <c r="D6" i="2"/>
  <c r="E11" i="5"/>
  <c r="D5" i="2" l="1"/>
  <c r="E5" i="2"/>
  <c r="C8" i="2"/>
  <c r="D8" i="2" l="1"/>
  <c r="E8" i="2"/>
</calcChain>
</file>

<file path=xl/sharedStrings.xml><?xml version="1.0" encoding="utf-8"?>
<sst xmlns="http://schemas.openxmlformats.org/spreadsheetml/2006/main" count="241" uniqueCount="125">
  <si>
    <t>🌟 Welcome to Your Life &amp; Budget Dashboard 2025 🌟</t>
  </si>
  <si>
    <t>Thank you for choosing the Life &amp; Budget Dashboard! This comprehensive tool will help you manage:</t>
  </si>
  <si>
    <t>• Personal Finances (Income, Expenses, Savings, Investments)</t>
  </si>
  <si>
    <t>• Health &amp; Wellness (Weight, Self-Care, Habits)</t>
  </si>
  <si>
    <t>• Daily Life (Meal Planning, Cleaning, Schedules)</t>
  </si>
  <si>
    <t>📊 HOW TO USE:</t>
  </si>
  <si>
    <t>1. Start by entering your monthly budget in the 'Dashboard' tab</t>
  </si>
  <si>
    <t>2. Track your income and expenses in their respective tabs</t>
  </si>
  <si>
    <t>3. Monitor your investments in the 'Stock Tracker'</t>
  </si>
  <si>
    <t>4. Use the health and lifestyle trackers to maintain balance</t>
  </si>
  <si>
    <t>5. Check the 'Dashboard' for insights and progress</t>
  </si>
  <si>
    <t>💡 TIP: Use the 'AI Insights' button to get personalized recommendations!</t>
  </si>
  <si>
    <t>🔒 Your data stays on your device. For cloud sync, save this file to your preferred cloud storage.</t>
  </si>
  <si>
    <t>📊 Dashboard Overview</t>
  </si>
  <si>
    <t>Category</t>
  </si>
  <si>
    <t>Planned</t>
  </si>
  <si>
    <t>Actual</t>
  </si>
  <si>
    <t>Difference</t>
  </si>
  <si>
    <t>% of Budget</t>
  </si>
  <si>
    <t>Income</t>
  </si>
  <si>
    <t>Expenses</t>
  </si>
  <si>
    <t>Savings</t>
  </si>
  <si>
    <t>Investments</t>
  </si>
  <si>
    <t>Total</t>
  </si>
  <si>
    <t>📋 Income Tracker</t>
  </si>
  <si>
    <t>Date</t>
  </si>
  <si>
    <t>Source</t>
  </si>
  <si>
    <t>Amount</t>
  </si>
  <si>
    <t>Notes</t>
  </si>
  <si>
    <t>Salary</t>
  </si>
  <si>
    <t>Primary Income</t>
  </si>
  <si>
    <t>Monthly salary</t>
  </si>
  <si>
    <t>Freelance</t>
  </si>
  <si>
    <t>Side Hustle</t>
  </si>
  <si>
    <t>Project X</t>
  </si>
  <si>
    <t>📋 Expense Tracker</t>
  </si>
  <si>
    <t>Description</t>
  </si>
  <si>
    <t>Payment Method</t>
  </si>
  <si>
    <t>Groceries</t>
  </si>
  <si>
    <t>Credit Card</t>
  </si>
  <si>
    <t>📋 Savings Tracker</t>
  </si>
  <si>
    <t>Goal</t>
  </si>
  <si>
    <t>Target Amount</t>
  </si>
  <si>
    <t>Current Amount</t>
  </si>
  <si>
    <t>% Complete</t>
  </si>
  <si>
    <t>Emergency Fund</t>
  </si>
  <si>
    <t>📋 Stock Tracker</t>
  </si>
  <si>
    <t>Symbol</t>
  </si>
  <si>
    <t>Company</t>
  </si>
  <si>
    <t>Shares</t>
  </si>
  <si>
    <t>Avg Price</t>
  </si>
  <si>
    <t>Current Price</t>
  </si>
  <si>
    <t>Total Value</t>
  </si>
  <si>
    <t>Gain/Loss</t>
  </si>
  <si>
    <t>% Change</t>
  </si>
  <si>
    <t>AAPL</t>
  </si>
  <si>
    <t>Apple Inc.</t>
  </si>
  <si>
    <t>📋 Weight Tracker</t>
  </si>
  <si>
    <t>Weight (kg)</t>
  </si>
  <si>
    <t>Body Fat %</t>
  </si>
  <si>
    <t>Started new diet</t>
  </si>
  <si>
    <t>Feeling good!</t>
  </si>
  <si>
    <t>🤖 AI-Powered Financial Insights</t>
  </si>
  <si>
    <t>This section provides AI-generated insights based on your data:</t>
  </si>
  <si>
    <t>🔍 To get started:</t>
  </si>
  <si>
    <t>1. Fill in your financial data in the respective sheets</t>
  </si>
  <si>
    <t>2. Click the 'Generate AI Insights' button in the app</t>
  </si>
  <si>
    <t>3. Review personalized recommendations here</t>
  </si>
  <si>
    <t>The AI will analyze your spending patterns, saving habits, and overall financial health to provide actionable advice.</t>
  </si>
  <si>
    <t>💡 Tip: The more data you provide, the more accurate the insights will be!</t>
  </si>
  <si>
    <t>TOTAL</t>
  </si>
  <si>
    <t>Console</t>
  </si>
  <si>
    <t>Feeling Better</t>
  </si>
  <si>
    <t>Snack</t>
  </si>
  <si>
    <t>Entertainment</t>
  </si>
  <si>
    <t>ok I guess</t>
  </si>
  <si>
    <t>Pound Land Lion Cereal Bars</t>
  </si>
  <si>
    <t>Pound Land Chop Chip Brioche Rolls</t>
  </si>
  <si>
    <t>Pound land Lb Pain Au Chocolat bread</t>
  </si>
  <si>
    <t>Chooee Blue Rasp Slices</t>
  </si>
  <si>
    <t>Self care</t>
  </si>
  <si>
    <t>Perfume</t>
  </si>
  <si>
    <t>Technology</t>
  </si>
  <si>
    <t>Zara COCOA SUNSET</t>
  </si>
  <si>
    <t>Zara COCOA BLISS</t>
  </si>
  <si>
    <t>Zara COCOA &amp; LATTE</t>
  </si>
  <si>
    <t>Zara TABACO INTENCE DARK EXCLUSIVE</t>
  </si>
  <si>
    <t>Zara TABACO RICH WARM ADDICTIVE</t>
  </si>
  <si>
    <t>Amazon Lexar EQ790 1TB SSD with Heatsink</t>
  </si>
  <si>
    <t>LEGO Speed Champions 2023 McLaren Formula 1</t>
  </si>
  <si>
    <t>Transport</t>
  </si>
  <si>
    <t>transport</t>
  </si>
  <si>
    <t>Lime Line One trip plus Lime plus for 30 min</t>
  </si>
  <si>
    <t>Cravendale Semi Skimmed Milk</t>
  </si>
  <si>
    <t>SFC Boneless Bucket</t>
  </si>
  <si>
    <t>Haribo Tangfastics</t>
  </si>
  <si>
    <t>pringles BBQ</t>
  </si>
  <si>
    <t>Aldi Eggs M</t>
  </si>
  <si>
    <t>Aldi Toothpaste Dent</t>
  </si>
  <si>
    <t>Playstation</t>
  </si>
  <si>
    <t>PSN ARC Raiders</t>
  </si>
  <si>
    <t>Gaming</t>
  </si>
  <si>
    <t>SansDisk 
WD_BLACK SN850X 1TB Internal NVMe SSD with Heatsink</t>
  </si>
  <si>
    <t xml:space="preserve">Borrow </t>
  </si>
  <si>
    <t>From Friend</t>
  </si>
  <si>
    <t>Friend</t>
  </si>
  <si>
    <t>MAOM BIG SELECTION 5</t>
  </si>
  <si>
    <t>WAGON WHEELS ORG 8X29</t>
  </si>
  <si>
    <t>MARD MINI 227G</t>
  </si>
  <si>
    <t>HSPECIAL ASSORTMNT SB</t>
  </si>
  <si>
    <t>MCV VICTORIA CRTN 245</t>
  </si>
  <si>
    <t>ECLAIRS ASSORTED TIN</t>
  </si>
  <si>
    <t>T/DELIGHT ROSE &amp; LEMO</t>
  </si>
  <si>
    <t>LA BOULANGERE PAIN AU CHOCOLAT</t>
  </si>
  <si>
    <t>HARIBO TANGFASTICS</t>
  </si>
  <si>
    <t>STRAWBERRY CHEESECAKE</t>
  </si>
  <si>
    <t>FLAP JAX CHOCOLATE FLAVOUR CHIPS</t>
  </si>
  <si>
    <t>snack</t>
  </si>
  <si>
    <t>Tesco</t>
  </si>
  <si>
    <t>subscription</t>
  </si>
  <si>
    <t>Monzo Perk Plan</t>
  </si>
  <si>
    <t>Clothings</t>
  </si>
  <si>
    <t>Metalica T-Shirt</t>
  </si>
  <si>
    <t>Eating Out</t>
  </si>
  <si>
    <t>Chilli Flames Monch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</si>
</sst>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6F42C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F42C1"/>
        <bgColor rgb="FF6F42C1"/>
      </patternFill>
    </fill>
    <fill>
      <patternFill patternType="solid">
        <fgColor rgb="FFF2E6FF"/>
        <bgColor rgb="FFF2E6FF"/>
      </patternFill>
    </fill>
    <fill>
      <patternFill patternType="solid">
        <fgColor rgb="FFB0E0E6"/>
        <bgColor rgb="FFB0E0E6"/>
      </patternFill>
    </fill>
    <fill>
      <patternFill patternType="solid">
        <fgColor rgb="FFFFB6C1"/>
        <bgColor rgb="FFFFB6C1"/>
      </patternFill>
    </fill>
    <fill>
      <patternFill patternType="solid">
        <fgColor rgb="FF98FB98"/>
        <bgColor rgb="FF98FB98"/>
      </patternFill>
    </fill>
    <fill>
      <patternFill patternType="solid">
        <fgColor rgb="FFD8BFD8"/>
        <bgColor rgb="FFD8BFD8"/>
      </patternFill>
    </fill>
    <fill>
      <patternFill patternType="solid">
        <fgColor rgb="FFFFDAB9"/>
        <bgColor rgb="FFFFDAB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164" fontId="0" fillId="0" borderId="2" xfId="0" applyNumberFormat="1" applyBorder="1"/>
    <xf numFmtId="0" fontId="0" fillId="0" borderId="2" xfId="0" applyBorder="1"/>
    <xf numFmtId="14" fontId="0" fillId="0" borderId="1" xfId="0" applyNumberFormat="1" applyBorder="1"/>
    <xf numFmtId="164" fontId="5" fillId="0" borderId="2" xfId="0" applyNumberFormat="1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1" xfId="0" applyFont="1" applyBorder="1"/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Planned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Dashboard!$A$4:$A$7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  <c:pt idx="3">
                  <c:v>Investments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4"/>
                <c:pt idx="0">
                  <c:v>400</c:v>
                </c:pt>
                <c:pt idx="1">
                  <c:v>100</c:v>
                </c:pt>
                <c:pt idx="2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6-5041-BC9B-1407D6F53CF5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Dashboard!$A$4:$A$7</c:f>
              <c:strCache>
                <c:ptCount val="4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  <c:pt idx="3">
                  <c:v>Investments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4"/>
                <c:pt idx="0">
                  <c:v>613.76</c:v>
                </c:pt>
                <c:pt idx="1">
                  <c:v>464.18000000000018</c:v>
                </c:pt>
                <c:pt idx="2">
                  <c:v>521.53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6-5041-BC9B-1407D6F5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Actual</a:t>
            </a:r>
            <a:r>
              <a:rPr lang="en-GB" baseline="0"/>
              <a:t> and Planned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Dashboard!$A$4:$A$5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Dashboard!$B$4:$B$5</c:f>
              <c:numCache>
                <c:formatCode>General</c:formatCode>
                <c:ptCount val="2"/>
                <c:pt idx="0">
                  <c:v>400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C-9A41-9B4D-6DBB33D1DC49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Dashboard!$A$4:$A$5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Dashboard!$C$4:$C$5</c:f>
              <c:numCache>
                <c:formatCode>General</c:formatCode>
                <c:ptCount val="2"/>
                <c:pt idx="0">
                  <c:v>613.76</c:v>
                </c:pt>
                <c:pt idx="1">
                  <c:v>464.18000000000018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C-9A41-9B4D-6DBB33D1D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121616"/>
        <c:axId val="2033314736"/>
      </c:barChart>
      <c:catAx>
        <c:axId val="2034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314736"/>
        <c:crosses val="autoZero"/>
        <c:auto val="1"/>
        <c:lblAlgn val="ctr"/>
        <c:lblOffset val="100"/>
        <c:noMultiLvlLbl val="0"/>
      </c:catAx>
      <c:valAx>
        <c:axId val="20333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1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 Tracker'!$B$3</c:f>
              <c:strCache>
                <c:ptCount val="1"/>
                <c:pt idx="0">
                  <c:v>Weight (kg)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'Weight Tracker'!$A$4:$A$7</c:f>
              <c:numCache>
                <c:formatCode>yyyy\-mm\-dd</c:formatCode>
                <c:ptCount val="4"/>
                <c:pt idx="0">
                  <c:v>45948</c:v>
                </c:pt>
                <c:pt idx="1">
                  <c:v>45955</c:v>
                </c:pt>
                <c:pt idx="2" formatCode="m/d/yy">
                  <c:v>45949</c:v>
                </c:pt>
                <c:pt idx="3" formatCode="m/d/yy">
                  <c:v>45971</c:v>
                </c:pt>
              </c:numCache>
            </c:numRef>
          </c:cat>
          <c:val>
            <c:numRef>
              <c:f>'Weight Tracker'!$B$4:$B$7</c:f>
              <c:numCache>
                <c:formatCode>General</c:formatCode>
                <c:ptCount val="4"/>
                <c:pt idx="0">
                  <c:v>75.5</c:v>
                </c:pt>
                <c:pt idx="1">
                  <c:v>74.8</c:v>
                </c:pt>
                <c:pt idx="2">
                  <c:v>77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2-EF44-85D1-AE9B2DA88F1E}"/>
            </c:ext>
          </c:extLst>
        </c:ser>
        <c:ser>
          <c:idx val="1"/>
          <c:order val="1"/>
          <c:tx>
            <c:strRef>
              <c:f>'Weight Tracker'!$C$3</c:f>
              <c:strCache>
                <c:ptCount val="1"/>
                <c:pt idx="0">
                  <c:v>Body Fat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'Weight Tracker'!$A$4:$A$7</c:f>
              <c:numCache>
                <c:formatCode>yyyy\-mm\-dd</c:formatCode>
                <c:ptCount val="4"/>
                <c:pt idx="0">
                  <c:v>45948</c:v>
                </c:pt>
                <c:pt idx="1">
                  <c:v>45955</c:v>
                </c:pt>
                <c:pt idx="2" formatCode="m/d/yy">
                  <c:v>45949</c:v>
                </c:pt>
                <c:pt idx="3" formatCode="m/d/yy">
                  <c:v>45971</c:v>
                </c:pt>
              </c:numCache>
            </c:numRef>
          </c:cat>
          <c:val>
            <c:numRef>
              <c:f>'Weight Tracker'!$C$4:$C$7</c:f>
              <c:numCache>
                <c:formatCode>General</c:formatCode>
                <c:ptCount val="4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2-EF44-85D1-AE9B2DA88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630111"/>
        <c:axId val="980567087"/>
      </c:lineChart>
      <c:dateAx>
        <c:axId val="98063011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67087"/>
        <c:crosses val="autoZero"/>
        <c:auto val="1"/>
        <c:lblOffset val="100"/>
        <c:baseTimeUnit val="days"/>
      </c:dateAx>
      <c:valAx>
        <c:axId val="98056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6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25400</xdr:colOff>
      <xdr:row>2</xdr:row>
      <xdr:rowOff>12700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14</xdr:col>
      <xdr:colOff>228600</xdr:colOff>
      <xdr:row>1</xdr:row>
      <xdr:rowOff>120650</xdr:rowOff>
    </xdr:from>
    <xdr:to>
      <xdr:col>21</xdr:col>
      <xdr:colOff>596900</xdr:colOff>
      <xdr:row>16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E0A23-6FBF-32A4-29CA-75467A034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13</xdr:row>
      <xdr:rowOff>171450</xdr:rowOff>
    </xdr:from>
    <xdr:to>
      <xdr:col>14</xdr:col>
      <xdr:colOff>355600</xdr:colOff>
      <xdr:row>28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D2C050-6CD3-AD38-F3E3-A525FBC7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C21" sqref="C21"/>
    </sheetView>
  </sheetViews>
  <sheetFormatPr baseColWidth="10" defaultColWidth="8.83203125" defaultRowHeight="15" x14ac:dyDescent="0.2"/>
  <sheetData>
    <row r="1" spans="1:10" ht="30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1" t="s">
        <v>1</v>
      </c>
    </row>
    <row r="4" spans="1:10" x14ac:dyDescent="0.2">
      <c r="A4" s="2" t="s">
        <v>2</v>
      </c>
    </row>
    <row r="5" spans="1:10" x14ac:dyDescent="0.2">
      <c r="A5" s="2" t="s">
        <v>3</v>
      </c>
    </row>
    <row r="6" spans="1:10" x14ac:dyDescent="0.2">
      <c r="A6" s="2" t="s">
        <v>4</v>
      </c>
    </row>
    <row r="8" spans="1:10" x14ac:dyDescent="0.2">
      <c r="A8" s="1" t="s">
        <v>5</v>
      </c>
    </row>
    <row r="9" spans="1:10" x14ac:dyDescent="0.2">
      <c r="A9" t="s">
        <v>6</v>
      </c>
    </row>
    <row r="10" spans="1:10" x14ac:dyDescent="0.2">
      <c r="A10" t="s">
        <v>7</v>
      </c>
    </row>
    <row r="11" spans="1:10" x14ac:dyDescent="0.2">
      <c r="A11" t="s">
        <v>8</v>
      </c>
    </row>
    <row r="12" spans="1:10" x14ac:dyDescent="0.2">
      <c r="A12" t="s">
        <v>9</v>
      </c>
    </row>
    <row r="13" spans="1:10" x14ac:dyDescent="0.2">
      <c r="A13" t="s">
        <v>10</v>
      </c>
    </row>
    <row r="15" spans="1:10" x14ac:dyDescent="0.2">
      <c r="A15" s="1" t="s">
        <v>11</v>
      </c>
    </row>
    <row r="17" spans="1:1" x14ac:dyDescent="0.2">
      <c r="A17" t="s">
        <v>12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E30" sqref="E30"/>
    </sheetView>
  </sheetViews>
  <sheetFormatPr baseColWidth="10" defaultColWidth="8.83203125" defaultRowHeight="15" x14ac:dyDescent="0.2"/>
  <cols>
    <col min="1" max="1" width="10.33203125" bestFit="1" customWidth="1"/>
    <col min="5" max="5" width="12.1640625" bestFit="1" customWidth="1"/>
  </cols>
  <sheetData>
    <row r="1" spans="1:10" ht="30" customHeight="1" x14ac:dyDescent="0.25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</row>
    <row r="4" spans="1:10" x14ac:dyDescent="0.2">
      <c r="A4" t="s">
        <v>19</v>
      </c>
      <c r="B4">
        <v>400</v>
      </c>
      <c r="C4">
        <f>'Income Tracker'!$C$10</f>
        <v>613.76</v>
      </c>
      <c r="D4">
        <f>C4-B4</f>
        <v>213.76</v>
      </c>
      <c r="E4" s="17">
        <f t="shared" ref="E4:E7" si="0">C4/B4*100</f>
        <v>153.44</v>
      </c>
    </row>
    <row r="5" spans="1:10" x14ac:dyDescent="0.2">
      <c r="A5" t="s">
        <v>20</v>
      </c>
      <c r="B5">
        <v>100</v>
      </c>
      <c r="C5">
        <f>'Expense Tracker'!$C$47</f>
        <v>464.18000000000018</v>
      </c>
      <c r="D5">
        <f>C5-B5</f>
        <v>364.18000000000018</v>
      </c>
      <c r="E5" s="17">
        <f t="shared" si="0"/>
        <v>464.18000000000018</v>
      </c>
    </row>
    <row r="6" spans="1:10" x14ac:dyDescent="0.2">
      <c r="A6" t="s">
        <v>21</v>
      </c>
      <c r="B6">
        <f>'Savings Tracker'!C11</f>
        <v>1100</v>
      </c>
      <c r="C6">
        <f>'Savings Tracker'!$D$11</f>
        <v>521.53</v>
      </c>
      <c r="D6">
        <f>C6-B6</f>
        <v>-578.47</v>
      </c>
      <c r="E6" s="17">
        <f t="shared" si="0"/>
        <v>47.411818181818177</v>
      </c>
    </row>
    <row r="7" spans="1:10" x14ac:dyDescent="0.2">
      <c r="A7" t="s">
        <v>22</v>
      </c>
      <c r="E7" s="17" t="e">
        <f t="shared" si="0"/>
        <v>#DIV/0!</v>
      </c>
    </row>
    <row r="8" spans="1:10" x14ac:dyDescent="0.2">
      <c r="A8" s="17" t="s">
        <v>23</v>
      </c>
      <c r="B8" s="17">
        <f>SUM(B4:B7)</f>
        <v>1600</v>
      </c>
      <c r="C8" s="17">
        <f>SUM(C4:C7)</f>
        <v>1599.47</v>
      </c>
      <c r="D8" s="17">
        <f>C8-B8</f>
        <v>-0.52999999999997272</v>
      </c>
      <c r="E8" s="17">
        <f>C8/B8*100</f>
        <v>99.966875000000002</v>
      </c>
    </row>
  </sheetData>
  <mergeCells count="1">
    <mergeCell ref="A1:J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21.6640625" customWidth="1"/>
    <col min="2" max="2" width="8.5" customWidth="1"/>
    <col min="3" max="3" width="7.5" bestFit="1" customWidth="1"/>
    <col min="4" max="4" width="13.1640625" bestFit="1" customWidth="1"/>
    <col min="5" max="5" width="12.33203125" bestFit="1" customWidth="1"/>
  </cols>
  <sheetData>
    <row r="1" spans="1:10" ht="30" customHeight="1" x14ac:dyDescent="0.25">
      <c r="A1" s="21" t="s">
        <v>24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4" t="s">
        <v>25</v>
      </c>
      <c r="B3" s="4" t="s">
        <v>26</v>
      </c>
      <c r="C3" s="4" t="s">
        <v>27</v>
      </c>
      <c r="D3" s="4" t="s">
        <v>14</v>
      </c>
      <c r="E3" s="4" t="s">
        <v>28</v>
      </c>
    </row>
    <row r="4" spans="1:10" x14ac:dyDescent="0.2">
      <c r="A4" s="5">
        <v>45989</v>
      </c>
      <c r="B4" s="6" t="s">
        <v>29</v>
      </c>
      <c r="C4" s="6">
        <v>500</v>
      </c>
      <c r="D4" s="6" t="s">
        <v>30</v>
      </c>
      <c r="E4" s="6" t="s">
        <v>31</v>
      </c>
    </row>
    <row r="5" spans="1:10" x14ac:dyDescent="0.2">
      <c r="A5" s="11">
        <v>45988</v>
      </c>
      <c r="B5" s="12" t="s">
        <v>32</v>
      </c>
      <c r="C5" s="12">
        <v>53.76</v>
      </c>
      <c r="D5" s="12" t="s">
        <v>33</v>
      </c>
      <c r="E5" s="12" t="s">
        <v>34</v>
      </c>
    </row>
    <row r="6" spans="1:10" x14ac:dyDescent="0.2">
      <c r="A6" s="14">
        <v>46000</v>
      </c>
      <c r="B6" s="12" t="s">
        <v>105</v>
      </c>
      <c r="C6" s="12">
        <v>60</v>
      </c>
      <c r="D6" s="12" t="s">
        <v>103</v>
      </c>
      <c r="E6" s="12" t="s">
        <v>104</v>
      </c>
    </row>
    <row r="7" spans="1:10" x14ac:dyDescent="0.2">
      <c r="A7" s="11"/>
      <c r="B7" s="12"/>
      <c r="C7" s="12"/>
      <c r="D7" s="12"/>
      <c r="E7" s="12"/>
    </row>
    <row r="8" spans="1:10" x14ac:dyDescent="0.2">
      <c r="A8" s="11"/>
      <c r="B8" s="12"/>
      <c r="C8" s="12"/>
      <c r="D8" s="12"/>
      <c r="E8" s="12"/>
    </row>
    <row r="9" spans="1:10" x14ac:dyDescent="0.2">
      <c r="A9" s="11"/>
      <c r="B9" s="12"/>
      <c r="C9" s="12"/>
      <c r="D9" s="12"/>
      <c r="E9" s="12"/>
    </row>
    <row r="10" spans="1:10" x14ac:dyDescent="0.2">
      <c r="A10" s="22" t="s">
        <v>70</v>
      </c>
      <c r="B10" s="22"/>
      <c r="C10" s="6">
        <f>SUM(C4:C9)</f>
        <v>613.76</v>
      </c>
      <c r="D10" s="6"/>
      <c r="E10" s="6"/>
    </row>
  </sheetData>
  <mergeCells count="2">
    <mergeCell ref="A1:J1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tabSelected="1" topLeftCell="A11" workbookViewId="0">
      <selection activeCell="H42" sqref="H42"/>
    </sheetView>
  </sheetViews>
  <sheetFormatPr baseColWidth="10" defaultColWidth="8.83203125" defaultRowHeight="15" x14ac:dyDescent="0.2"/>
  <cols>
    <col min="1" max="1" width="22.83203125" customWidth="1"/>
    <col min="2" max="2" width="12.1640625" bestFit="1" customWidth="1"/>
    <col min="4" max="4" width="12.1640625" bestFit="1" customWidth="1"/>
    <col min="5" max="5" width="14.6640625" bestFit="1" customWidth="1"/>
    <col min="6" max="6" width="45.1640625" bestFit="1" customWidth="1"/>
  </cols>
  <sheetData>
    <row r="1" spans="1:10" ht="30" customHeight="1" x14ac:dyDescent="0.25">
      <c r="A1" s="23" t="s">
        <v>35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7" t="s">
        <v>25</v>
      </c>
      <c r="B3" s="7" t="s">
        <v>36</v>
      </c>
      <c r="C3" s="7" t="s">
        <v>27</v>
      </c>
      <c r="D3" s="7" t="s">
        <v>14</v>
      </c>
      <c r="E3" s="7" t="s">
        <v>37</v>
      </c>
      <c r="F3" s="7" t="s">
        <v>28</v>
      </c>
    </row>
    <row r="4" spans="1:10" x14ac:dyDescent="0.2">
      <c r="A4" s="5">
        <v>45994</v>
      </c>
      <c r="B4" s="6" t="s">
        <v>38</v>
      </c>
      <c r="C4" s="6">
        <v>1</v>
      </c>
      <c r="D4" s="6" t="s">
        <v>73</v>
      </c>
      <c r="E4" s="6" t="s">
        <v>39</v>
      </c>
      <c r="F4" s="6" t="s">
        <v>76</v>
      </c>
    </row>
    <row r="5" spans="1:10" x14ac:dyDescent="0.2">
      <c r="A5" s="11">
        <v>45994</v>
      </c>
      <c r="B5" s="6" t="s">
        <v>38</v>
      </c>
      <c r="C5" s="12">
        <v>1</v>
      </c>
      <c r="D5" s="6" t="s">
        <v>73</v>
      </c>
      <c r="E5" s="6" t="s">
        <v>39</v>
      </c>
      <c r="F5" s="12" t="s">
        <v>77</v>
      </c>
    </row>
    <row r="6" spans="1:10" x14ac:dyDescent="0.2">
      <c r="A6" s="11">
        <v>45993</v>
      </c>
      <c r="B6" s="6" t="s">
        <v>38</v>
      </c>
      <c r="C6" s="12">
        <v>1</v>
      </c>
      <c r="D6" s="6" t="s">
        <v>73</v>
      </c>
      <c r="E6" s="6" t="s">
        <v>39</v>
      </c>
      <c r="F6" s="12" t="s">
        <v>78</v>
      </c>
    </row>
    <row r="7" spans="1:10" x14ac:dyDescent="0.2">
      <c r="A7" s="11">
        <v>45993</v>
      </c>
      <c r="B7" s="6" t="s">
        <v>38</v>
      </c>
      <c r="C7" s="12">
        <v>1</v>
      </c>
      <c r="D7" s="6" t="s">
        <v>73</v>
      </c>
      <c r="E7" s="6" t="s">
        <v>39</v>
      </c>
      <c r="F7" s="12" t="s">
        <v>79</v>
      </c>
    </row>
    <row r="8" spans="1:10" x14ac:dyDescent="0.2">
      <c r="A8" s="11">
        <v>45996</v>
      </c>
      <c r="B8" s="6" t="s">
        <v>80</v>
      </c>
      <c r="C8" s="12">
        <v>19.989999999999998</v>
      </c>
      <c r="D8" s="6" t="s">
        <v>81</v>
      </c>
      <c r="E8" s="6" t="s">
        <v>39</v>
      </c>
      <c r="F8" s="12" t="s">
        <v>83</v>
      </c>
    </row>
    <row r="9" spans="1:10" x14ac:dyDescent="0.2">
      <c r="A9" s="11">
        <v>45996</v>
      </c>
      <c r="B9" s="6" t="s">
        <v>80</v>
      </c>
      <c r="C9" s="12">
        <v>19.989999999999998</v>
      </c>
      <c r="D9" s="6" t="s">
        <v>81</v>
      </c>
      <c r="E9" s="6" t="s">
        <v>39</v>
      </c>
      <c r="F9" s="12" t="s">
        <v>84</v>
      </c>
    </row>
    <row r="10" spans="1:10" x14ac:dyDescent="0.2">
      <c r="A10" s="11">
        <v>45996</v>
      </c>
      <c r="B10" s="6" t="s">
        <v>80</v>
      </c>
      <c r="C10" s="12">
        <v>19.989999999999998</v>
      </c>
      <c r="D10" s="6" t="s">
        <v>81</v>
      </c>
      <c r="E10" s="6" t="s">
        <v>39</v>
      </c>
      <c r="F10" s="12" t="s">
        <v>85</v>
      </c>
    </row>
    <row r="11" spans="1:10" x14ac:dyDescent="0.2">
      <c r="A11" s="11">
        <v>45996</v>
      </c>
      <c r="B11" s="6" t="s">
        <v>80</v>
      </c>
      <c r="C11" s="12">
        <v>19.989999999999998</v>
      </c>
      <c r="D11" s="6" t="s">
        <v>81</v>
      </c>
      <c r="E11" s="6" t="s">
        <v>39</v>
      </c>
      <c r="F11" s="12" t="s">
        <v>86</v>
      </c>
    </row>
    <row r="12" spans="1:10" x14ac:dyDescent="0.2">
      <c r="A12" s="11">
        <v>45996</v>
      </c>
      <c r="B12" s="6" t="s">
        <v>80</v>
      </c>
      <c r="C12" s="15">
        <v>19.989999999999998</v>
      </c>
      <c r="D12" s="6" t="s">
        <v>81</v>
      </c>
      <c r="E12" s="16" t="s">
        <v>39</v>
      </c>
      <c r="F12" s="12" t="s">
        <v>87</v>
      </c>
    </row>
    <row r="13" spans="1:10" x14ac:dyDescent="0.2">
      <c r="A13" s="11">
        <v>45996</v>
      </c>
      <c r="B13" s="15" t="s">
        <v>74</v>
      </c>
      <c r="C13" s="15">
        <v>94.99</v>
      </c>
      <c r="D13" s="15" t="s">
        <v>82</v>
      </c>
      <c r="E13" s="16" t="s">
        <v>39</v>
      </c>
      <c r="F13" s="15" t="s">
        <v>88</v>
      </c>
    </row>
    <row r="14" spans="1:10" x14ac:dyDescent="0.2">
      <c r="A14" s="11">
        <v>45996</v>
      </c>
      <c r="B14" s="15" t="s">
        <v>74</v>
      </c>
      <c r="C14" s="15">
        <v>21.66</v>
      </c>
      <c r="D14" s="15" t="s">
        <v>74</v>
      </c>
      <c r="E14" s="16" t="s">
        <v>39</v>
      </c>
      <c r="F14" s="15" t="s">
        <v>89</v>
      </c>
    </row>
    <row r="15" spans="1:10" x14ac:dyDescent="0.2">
      <c r="A15" s="14">
        <v>45997</v>
      </c>
      <c r="B15" s="15" t="s">
        <v>90</v>
      </c>
      <c r="C15" s="15">
        <f>1.95+1.99</f>
        <v>3.94</v>
      </c>
      <c r="D15" s="15" t="s">
        <v>91</v>
      </c>
      <c r="E15" s="16" t="s">
        <v>39</v>
      </c>
      <c r="F15" s="15" t="s">
        <v>92</v>
      </c>
    </row>
    <row r="16" spans="1:10" x14ac:dyDescent="0.2">
      <c r="A16" s="14">
        <v>45997</v>
      </c>
      <c r="B16" s="6" t="s">
        <v>38</v>
      </c>
      <c r="C16" s="15">
        <v>2.4900000000000002</v>
      </c>
      <c r="D16" s="6" t="s">
        <v>38</v>
      </c>
      <c r="E16" s="16" t="s">
        <v>39</v>
      </c>
      <c r="F16" s="15" t="s">
        <v>93</v>
      </c>
    </row>
    <row r="17" spans="1:6" x14ac:dyDescent="0.2">
      <c r="A17" s="14">
        <v>45997</v>
      </c>
      <c r="B17" s="6" t="s">
        <v>38</v>
      </c>
      <c r="C17" s="15">
        <v>1.99</v>
      </c>
      <c r="D17" s="6" t="s">
        <v>38</v>
      </c>
      <c r="E17" s="16" t="s">
        <v>39</v>
      </c>
      <c r="F17" s="15" t="s">
        <v>94</v>
      </c>
    </row>
    <row r="18" spans="1:6" x14ac:dyDescent="0.2">
      <c r="A18" s="14">
        <v>45997</v>
      </c>
      <c r="B18" s="6" t="s">
        <v>73</v>
      </c>
      <c r="C18" s="12">
        <v>0.99</v>
      </c>
      <c r="D18" s="6" t="s">
        <v>38</v>
      </c>
      <c r="E18" s="16" t="s">
        <v>39</v>
      </c>
      <c r="F18" s="12" t="s">
        <v>95</v>
      </c>
    </row>
    <row r="19" spans="1:6" x14ac:dyDescent="0.2">
      <c r="A19" s="14">
        <v>45997</v>
      </c>
      <c r="B19" s="6" t="s">
        <v>38</v>
      </c>
      <c r="C19" s="12">
        <v>0.99</v>
      </c>
      <c r="D19" s="6" t="s">
        <v>38</v>
      </c>
      <c r="E19" s="16" t="s">
        <v>39</v>
      </c>
      <c r="F19" s="12" t="s">
        <v>96</v>
      </c>
    </row>
    <row r="20" spans="1:6" x14ac:dyDescent="0.2">
      <c r="A20" s="14">
        <v>45998</v>
      </c>
      <c r="B20" s="6" t="s">
        <v>73</v>
      </c>
      <c r="C20" s="12">
        <v>0.99</v>
      </c>
      <c r="D20" s="6" t="s">
        <v>38</v>
      </c>
      <c r="E20" s="16" t="s">
        <v>39</v>
      </c>
      <c r="F20" s="12" t="s">
        <v>95</v>
      </c>
    </row>
    <row r="21" spans="1:6" x14ac:dyDescent="0.2">
      <c r="A21" s="14">
        <v>45998</v>
      </c>
      <c r="B21" s="6" t="s">
        <v>73</v>
      </c>
      <c r="C21" s="12">
        <v>0.99</v>
      </c>
      <c r="D21" s="6" t="s">
        <v>38</v>
      </c>
      <c r="E21" s="16" t="s">
        <v>39</v>
      </c>
      <c r="F21" s="12" t="s">
        <v>95</v>
      </c>
    </row>
    <row r="22" spans="1:6" x14ac:dyDescent="0.2">
      <c r="A22" s="14">
        <v>46000</v>
      </c>
      <c r="B22" s="6" t="s">
        <v>38</v>
      </c>
      <c r="C22" s="12">
        <v>1.55</v>
      </c>
      <c r="D22" s="6" t="s">
        <v>38</v>
      </c>
      <c r="E22" s="16" t="s">
        <v>39</v>
      </c>
      <c r="F22" s="12" t="s">
        <v>97</v>
      </c>
    </row>
    <row r="23" spans="1:6" x14ac:dyDescent="0.2">
      <c r="A23" s="14">
        <v>46000</v>
      </c>
      <c r="B23" s="6" t="s">
        <v>38</v>
      </c>
      <c r="C23" s="12">
        <v>0.69</v>
      </c>
      <c r="D23" s="6" t="s">
        <v>38</v>
      </c>
      <c r="E23" s="16" t="s">
        <v>39</v>
      </c>
      <c r="F23" s="12" t="s">
        <v>98</v>
      </c>
    </row>
    <row r="24" spans="1:6" x14ac:dyDescent="0.2">
      <c r="A24" s="14">
        <v>45999</v>
      </c>
      <c r="B24" s="6" t="s">
        <v>74</v>
      </c>
      <c r="C24" s="12">
        <v>32.99</v>
      </c>
      <c r="D24" s="6" t="s">
        <v>99</v>
      </c>
      <c r="E24" s="16" t="s">
        <v>39</v>
      </c>
      <c r="F24" s="12" t="s">
        <v>100</v>
      </c>
    </row>
    <row r="25" spans="1:6" ht="32" x14ac:dyDescent="0.2">
      <c r="A25" s="14">
        <v>45999</v>
      </c>
      <c r="B25" s="6" t="s">
        <v>82</v>
      </c>
      <c r="C25" s="12">
        <v>131.84</v>
      </c>
      <c r="D25" s="6" t="s">
        <v>101</v>
      </c>
      <c r="E25" s="16" t="s">
        <v>39</v>
      </c>
      <c r="F25" s="18" t="s">
        <v>102</v>
      </c>
    </row>
    <row r="26" spans="1:6" x14ac:dyDescent="0.2">
      <c r="A26" s="14">
        <v>46002</v>
      </c>
      <c r="B26" s="6" t="s">
        <v>38</v>
      </c>
      <c r="C26" s="12">
        <v>2.99</v>
      </c>
      <c r="D26" s="12" t="s">
        <v>73</v>
      </c>
      <c r="E26" s="16" t="s">
        <v>39</v>
      </c>
      <c r="F26" s="12" t="s">
        <v>106</v>
      </c>
    </row>
    <row r="27" spans="1:6" x14ac:dyDescent="0.2">
      <c r="A27" s="14">
        <v>46002</v>
      </c>
      <c r="B27" s="6" t="s">
        <v>38</v>
      </c>
      <c r="C27" s="12">
        <v>1.69</v>
      </c>
      <c r="D27" s="12" t="s">
        <v>73</v>
      </c>
      <c r="E27" s="16" t="s">
        <v>39</v>
      </c>
      <c r="F27" s="12" t="s">
        <v>107</v>
      </c>
    </row>
    <row r="28" spans="1:6" x14ac:dyDescent="0.2">
      <c r="A28" s="14">
        <v>46002</v>
      </c>
      <c r="B28" s="6" t="s">
        <v>38</v>
      </c>
      <c r="C28" s="12">
        <v>3.29</v>
      </c>
      <c r="D28" s="12" t="s">
        <v>73</v>
      </c>
      <c r="E28" s="16" t="s">
        <v>39</v>
      </c>
      <c r="F28" s="12" t="s">
        <v>108</v>
      </c>
    </row>
    <row r="29" spans="1:6" x14ac:dyDescent="0.2">
      <c r="A29" s="14">
        <v>46002</v>
      </c>
      <c r="B29" s="6" t="s">
        <v>38</v>
      </c>
      <c r="C29" s="12">
        <v>1.25</v>
      </c>
      <c r="D29" s="12" t="s">
        <v>73</v>
      </c>
      <c r="E29" s="16" t="s">
        <v>39</v>
      </c>
      <c r="F29" s="12" t="s">
        <v>109</v>
      </c>
    </row>
    <row r="30" spans="1:6" x14ac:dyDescent="0.2">
      <c r="A30" s="14">
        <v>46002</v>
      </c>
      <c r="B30" s="6" t="s">
        <v>38</v>
      </c>
      <c r="C30" s="12">
        <v>3.49</v>
      </c>
      <c r="D30" s="12" t="s">
        <v>73</v>
      </c>
      <c r="E30" s="16" t="s">
        <v>39</v>
      </c>
      <c r="F30" s="12" t="s">
        <v>110</v>
      </c>
    </row>
    <row r="31" spans="1:6" x14ac:dyDescent="0.2">
      <c r="A31" s="14">
        <v>46002</v>
      </c>
      <c r="B31" s="6" t="s">
        <v>38</v>
      </c>
      <c r="C31" s="12">
        <v>3.49</v>
      </c>
      <c r="D31" s="12" t="s">
        <v>73</v>
      </c>
      <c r="E31" s="16" t="s">
        <v>39</v>
      </c>
      <c r="F31" s="12" t="s">
        <v>111</v>
      </c>
    </row>
    <row r="32" spans="1:6" x14ac:dyDescent="0.2">
      <c r="A32" s="14">
        <v>46002</v>
      </c>
      <c r="B32" s="6" t="s">
        <v>38</v>
      </c>
      <c r="C32" s="12">
        <v>1.25</v>
      </c>
      <c r="D32" s="12" t="s">
        <v>73</v>
      </c>
      <c r="E32" s="16" t="s">
        <v>39</v>
      </c>
      <c r="F32" s="12" t="s">
        <v>109</v>
      </c>
    </row>
    <row r="33" spans="1:6" x14ac:dyDescent="0.2">
      <c r="A33" s="14">
        <v>46002</v>
      </c>
      <c r="B33" s="6" t="s">
        <v>38</v>
      </c>
      <c r="C33" s="12">
        <v>1.49</v>
      </c>
      <c r="D33" s="12" t="s">
        <v>73</v>
      </c>
      <c r="E33" s="16" t="s">
        <v>39</v>
      </c>
      <c r="F33" s="12" t="s">
        <v>112</v>
      </c>
    </row>
    <row r="34" spans="1:6" x14ac:dyDescent="0.2">
      <c r="A34" s="14">
        <v>46002</v>
      </c>
      <c r="B34" s="6" t="s">
        <v>38</v>
      </c>
      <c r="C34" s="12">
        <v>1.49</v>
      </c>
      <c r="D34" s="12" t="s">
        <v>73</v>
      </c>
      <c r="E34" s="16" t="s">
        <v>39</v>
      </c>
      <c r="F34" s="12" t="s">
        <v>113</v>
      </c>
    </row>
    <row r="35" spans="1:6" x14ac:dyDescent="0.2">
      <c r="A35" s="14">
        <v>46002</v>
      </c>
      <c r="B35" s="6" t="s">
        <v>38</v>
      </c>
      <c r="C35" s="12">
        <v>0.99</v>
      </c>
      <c r="D35" s="12" t="s">
        <v>73</v>
      </c>
      <c r="E35" s="16" t="s">
        <v>39</v>
      </c>
      <c r="F35" s="12" t="s">
        <v>114</v>
      </c>
    </row>
    <row r="36" spans="1:6" x14ac:dyDescent="0.2">
      <c r="A36" s="14">
        <v>46002</v>
      </c>
      <c r="B36" s="6" t="s">
        <v>38</v>
      </c>
      <c r="C36" s="12">
        <v>0.99</v>
      </c>
      <c r="D36" s="12" t="s">
        <v>73</v>
      </c>
      <c r="E36" s="16" t="s">
        <v>39</v>
      </c>
      <c r="F36" s="12" t="s">
        <v>115</v>
      </c>
    </row>
    <row r="37" spans="1:6" x14ac:dyDescent="0.2">
      <c r="A37" s="14">
        <v>46002</v>
      </c>
      <c r="B37" s="6" t="s">
        <v>38</v>
      </c>
      <c r="C37" s="12">
        <v>0.99</v>
      </c>
      <c r="D37" s="12" t="s">
        <v>73</v>
      </c>
      <c r="E37" s="16" t="s">
        <v>39</v>
      </c>
      <c r="F37" s="12" t="s">
        <v>116</v>
      </c>
    </row>
    <row r="38" spans="1:6" x14ac:dyDescent="0.2">
      <c r="A38" s="14">
        <v>45973</v>
      </c>
      <c r="B38" s="15" t="s">
        <v>90</v>
      </c>
      <c r="C38" s="12">
        <v>1.99</v>
      </c>
      <c r="D38" s="15" t="s">
        <v>90</v>
      </c>
      <c r="E38" s="16" t="s">
        <v>39</v>
      </c>
      <c r="F38" s="12" t="s">
        <v>92</v>
      </c>
    </row>
    <row r="39" spans="1:6" x14ac:dyDescent="0.2">
      <c r="A39" s="14">
        <v>45973</v>
      </c>
      <c r="B39" s="6" t="s">
        <v>38</v>
      </c>
      <c r="C39" s="12">
        <v>3.25</v>
      </c>
      <c r="D39" s="28" t="s">
        <v>117</v>
      </c>
      <c r="E39" s="16" t="s">
        <v>39</v>
      </c>
      <c r="F39" s="12" t="s">
        <v>118</v>
      </c>
    </row>
    <row r="40" spans="1:6" x14ac:dyDescent="0.2">
      <c r="A40" s="14">
        <v>45973</v>
      </c>
      <c r="B40" s="6" t="s">
        <v>80</v>
      </c>
      <c r="C40" s="12">
        <v>7</v>
      </c>
      <c r="D40" s="6" t="s">
        <v>119</v>
      </c>
      <c r="E40" s="16" t="s">
        <v>39</v>
      </c>
      <c r="F40" s="12" t="s">
        <v>120</v>
      </c>
    </row>
    <row r="41" spans="1:6" x14ac:dyDescent="0.2">
      <c r="A41" s="14">
        <v>46004</v>
      </c>
      <c r="B41" s="6" t="s">
        <v>121</v>
      </c>
      <c r="C41" s="12">
        <v>15</v>
      </c>
      <c r="D41" s="6" t="s">
        <v>121</v>
      </c>
      <c r="E41" s="16" t="s">
        <v>39</v>
      </c>
      <c r="F41" s="12" t="s">
        <v>122</v>
      </c>
    </row>
    <row r="42" spans="1:6" x14ac:dyDescent="0.2">
      <c r="A42" s="14">
        <v>46004</v>
      </c>
      <c r="B42" s="6" t="s">
        <v>38</v>
      </c>
      <c r="C42" s="12">
        <v>13.49</v>
      </c>
      <c r="D42" s="6" t="s">
        <v>123</v>
      </c>
      <c r="E42" s="16" t="s">
        <v>39</v>
      </c>
      <c r="F42" s="12" t="s">
        <v>124</v>
      </c>
    </row>
    <row r="43" spans="1:6" x14ac:dyDescent="0.2">
      <c r="A43" s="14"/>
      <c r="B43" s="6"/>
      <c r="C43" s="12"/>
      <c r="D43" s="6"/>
      <c r="E43" s="16"/>
      <c r="F43" s="12"/>
    </row>
    <row r="44" spans="1:6" x14ac:dyDescent="0.2">
      <c r="A44" s="14"/>
      <c r="B44" s="6"/>
      <c r="C44" s="12"/>
      <c r="D44" s="6"/>
      <c r="E44" s="16"/>
      <c r="F44" s="12"/>
    </row>
    <row r="45" spans="1:6" x14ac:dyDescent="0.2">
      <c r="A45" s="14"/>
      <c r="B45" s="6"/>
      <c r="C45" s="12"/>
      <c r="D45" s="6"/>
      <c r="E45" s="16"/>
      <c r="F45" s="12"/>
    </row>
    <row r="46" spans="1:6" x14ac:dyDescent="0.2">
      <c r="A46" s="11"/>
      <c r="B46" s="12"/>
      <c r="C46" s="12"/>
      <c r="D46" s="12"/>
      <c r="E46" s="16"/>
      <c r="F46" s="12"/>
    </row>
    <row r="47" spans="1:6" x14ac:dyDescent="0.2">
      <c r="A47" s="24" t="s">
        <v>70</v>
      </c>
      <c r="B47" s="24"/>
      <c r="C47" s="17">
        <f>SUM(C4:C46)</f>
        <v>464.18000000000018</v>
      </c>
      <c r="D47" s="6"/>
      <c r="E47" s="6"/>
      <c r="F47" s="6"/>
    </row>
  </sheetData>
  <mergeCells count="2">
    <mergeCell ref="A1:J1"/>
    <mergeCell ref="A47:B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22.83203125" customWidth="1"/>
    <col min="3" max="3" width="12.83203125" customWidth="1"/>
    <col min="4" max="4" width="13.83203125" bestFit="1" customWidth="1"/>
    <col min="5" max="5" width="10.5" bestFit="1" customWidth="1"/>
  </cols>
  <sheetData>
    <row r="1" spans="1:10" ht="30" customHeight="1" x14ac:dyDescent="0.25">
      <c r="A1" s="25" t="s">
        <v>40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8" t="s">
        <v>25</v>
      </c>
      <c r="B3" s="8" t="s">
        <v>41</v>
      </c>
      <c r="C3" s="8" t="s">
        <v>42</v>
      </c>
      <c r="D3" s="8" t="s">
        <v>43</v>
      </c>
      <c r="E3" s="8" t="s">
        <v>44</v>
      </c>
    </row>
    <row r="4" spans="1:10" x14ac:dyDescent="0.2">
      <c r="A4" s="5">
        <v>45955</v>
      </c>
      <c r="B4" s="6" t="s">
        <v>45</v>
      </c>
      <c r="C4" s="6">
        <v>600</v>
      </c>
      <c r="D4" s="6">
        <v>521.53</v>
      </c>
      <c r="E4" s="6">
        <f>D4/C4</f>
        <v>0.86921666666666664</v>
      </c>
    </row>
    <row r="5" spans="1:10" x14ac:dyDescent="0.2">
      <c r="A5" s="13">
        <v>45962</v>
      </c>
      <c r="B5" s="6" t="s">
        <v>71</v>
      </c>
      <c r="C5" s="6">
        <v>500</v>
      </c>
      <c r="D5" s="6">
        <v>0</v>
      </c>
      <c r="E5" s="6">
        <f>D5/C5</f>
        <v>0</v>
      </c>
    </row>
    <row r="6" spans="1:10" x14ac:dyDescent="0.2">
      <c r="A6" s="5"/>
      <c r="B6" s="6"/>
      <c r="C6" s="6"/>
      <c r="D6" s="6"/>
      <c r="E6" s="6"/>
    </row>
    <row r="7" spans="1:10" x14ac:dyDescent="0.2">
      <c r="A7" s="5"/>
      <c r="B7" s="6"/>
      <c r="C7" s="6"/>
      <c r="D7" s="6"/>
      <c r="E7" s="6"/>
    </row>
    <row r="8" spans="1:10" x14ac:dyDescent="0.2">
      <c r="A8" s="5"/>
      <c r="B8" s="6"/>
      <c r="C8" s="6"/>
      <c r="D8" s="6"/>
      <c r="E8" s="6"/>
    </row>
    <row r="9" spans="1:10" x14ac:dyDescent="0.2">
      <c r="A9" s="5"/>
      <c r="B9" s="6"/>
      <c r="C9" s="6"/>
      <c r="D9" s="6"/>
      <c r="E9" s="6"/>
    </row>
    <row r="10" spans="1:10" x14ac:dyDescent="0.2">
      <c r="A10" s="13"/>
      <c r="B10" s="6"/>
      <c r="C10" s="6"/>
      <c r="D10" s="6"/>
      <c r="E10" s="6"/>
    </row>
    <row r="11" spans="1:10" x14ac:dyDescent="0.2">
      <c r="A11" s="6" t="s">
        <v>23</v>
      </c>
      <c r="B11" s="6"/>
      <c r="C11" s="6">
        <f>SUM(C4:C10)</f>
        <v>1100</v>
      </c>
      <c r="D11" s="6">
        <f>SUM(D4:D10)</f>
        <v>521.53</v>
      </c>
      <c r="E11" s="6">
        <f>D11/C11</f>
        <v>0.47411818181818177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20.33203125" customWidth="1"/>
    <col min="5" max="5" width="11.5" bestFit="1" customWidth="1"/>
    <col min="8" max="8" width="8.5" bestFit="1" customWidth="1"/>
  </cols>
  <sheetData>
    <row r="1" spans="1:10" ht="30" customHeight="1" x14ac:dyDescent="0.25">
      <c r="A1" s="26" t="s">
        <v>46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</row>
    <row r="4" spans="1:10" x14ac:dyDescent="0.2">
      <c r="A4" s="6" t="s">
        <v>55</v>
      </c>
      <c r="B4" s="6" t="s">
        <v>56</v>
      </c>
      <c r="C4" s="6">
        <v>10</v>
      </c>
      <c r="D4" s="6">
        <v>150</v>
      </c>
      <c r="E4" s="6">
        <v>175</v>
      </c>
      <c r="F4" s="6">
        <f>C4*E4</f>
        <v>1750</v>
      </c>
      <c r="G4" s="6">
        <f>F4-(C4*D4)</f>
        <v>250</v>
      </c>
      <c r="H4" s="6">
        <f>(E4-D4)/D4</f>
        <v>0.16666666666666666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21.6640625" customWidth="1"/>
    <col min="2" max="2" width="9.83203125" bestFit="1" customWidth="1"/>
    <col min="4" max="4" width="13.5" bestFit="1" customWidth="1"/>
  </cols>
  <sheetData>
    <row r="1" spans="1:10" ht="30" customHeight="1" x14ac:dyDescent="0.25">
      <c r="A1" s="27" t="s">
        <v>57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s="10" t="s">
        <v>25</v>
      </c>
      <c r="B3" s="10" t="s">
        <v>58</v>
      </c>
      <c r="C3" s="10" t="s">
        <v>59</v>
      </c>
      <c r="D3" s="10" t="s">
        <v>28</v>
      </c>
    </row>
    <row r="4" spans="1:10" x14ac:dyDescent="0.2">
      <c r="A4" s="5">
        <v>45948</v>
      </c>
      <c r="B4" s="6">
        <v>75.5</v>
      </c>
      <c r="C4" s="6">
        <v>22</v>
      </c>
      <c r="D4" s="6" t="s">
        <v>60</v>
      </c>
    </row>
    <row r="5" spans="1:10" x14ac:dyDescent="0.2">
      <c r="A5" s="5">
        <v>45955</v>
      </c>
      <c r="B5" s="6">
        <v>74.8</v>
      </c>
      <c r="C5" s="6">
        <v>21.5</v>
      </c>
      <c r="D5" s="6" t="s">
        <v>61</v>
      </c>
    </row>
    <row r="6" spans="1:10" x14ac:dyDescent="0.2">
      <c r="A6" s="13">
        <v>45949</v>
      </c>
      <c r="B6" s="6">
        <v>77</v>
      </c>
      <c r="C6" s="6">
        <v>21</v>
      </c>
      <c r="D6" s="6" t="s">
        <v>72</v>
      </c>
    </row>
    <row r="7" spans="1:10" x14ac:dyDescent="0.2">
      <c r="A7" s="13">
        <v>45971</v>
      </c>
      <c r="B7" s="6">
        <v>76</v>
      </c>
      <c r="C7" s="6">
        <v>20</v>
      </c>
      <c r="D7" s="6" t="s">
        <v>75</v>
      </c>
    </row>
  </sheetData>
  <mergeCells count="1">
    <mergeCell ref="A1:J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workbookViewId="0">
      <selection activeCell="L17" sqref="L17"/>
    </sheetView>
  </sheetViews>
  <sheetFormatPr baseColWidth="10" defaultColWidth="8.83203125" defaultRowHeight="15" x14ac:dyDescent="0.2"/>
  <cols>
    <col min="1" max="1" width="9" customWidth="1"/>
  </cols>
  <sheetData>
    <row r="1" spans="1:10" ht="30" customHeight="1" x14ac:dyDescent="0.25">
      <c r="A1" s="19" t="s">
        <v>62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0" customHeight="1" x14ac:dyDescent="0.2"/>
    <row r="3" spans="1:10" x14ac:dyDescent="0.2">
      <c r="A3" t="s">
        <v>63</v>
      </c>
    </row>
    <row r="5" spans="1:10" x14ac:dyDescent="0.2">
      <c r="A5" s="1" t="s">
        <v>64</v>
      </c>
    </row>
    <row r="6" spans="1:10" x14ac:dyDescent="0.2">
      <c r="A6" t="s">
        <v>65</v>
      </c>
    </row>
    <row r="7" spans="1:10" x14ac:dyDescent="0.2">
      <c r="A7" t="s">
        <v>66</v>
      </c>
    </row>
    <row r="8" spans="1:10" x14ac:dyDescent="0.2">
      <c r="A8" t="s">
        <v>67</v>
      </c>
    </row>
    <row r="10" spans="1:10" x14ac:dyDescent="0.2">
      <c r="A10" t="s">
        <v>68</v>
      </c>
    </row>
    <row r="12" spans="1:10" x14ac:dyDescent="0.2">
      <c r="A12" s="1" t="s">
        <v>69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Welcome Guide</vt:lpstr>
      <vt:lpstr>Dashboard</vt:lpstr>
      <vt:lpstr>Income Tracker</vt:lpstr>
      <vt:lpstr>Expense Tracker</vt:lpstr>
      <vt:lpstr>Savings Tracker</vt:lpstr>
      <vt:lpstr>Stock Tracker</vt:lpstr>
      <vt:lpstr>Weight Tracker</vt:lpstr>
      <vt:lpstr>AI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Gathukia 2024 (N1292714)</cp:lastModifiedBy>
  <dcterms:created xsi:type="dcterms:W3CDTF">2025-10-25T16:22:14Z</dcterms:created>
  <dcterms:modified xsi:type="dcterms:W3CDTF">2025-12-14T17:52:02Z</dcterms:modified>
</cp:coreProperties>
</file>