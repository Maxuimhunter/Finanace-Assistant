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nthonygathukia/Desktop/Me/Finance Folder's/"/>
    </mc:Choice>
  </mc:AlternateContent>
  <xr:revisionPtr revIDLastSave="0" documentId="13_ncr:1_{AB374343-A717-964C-9AB9-23463076D1A2}" xr6:coauthVersionLast="47" xr6:coauthVersionMax="47" xr10:uidLastSave="{00000000-0000-0000-0000-000000000000}"/>
  <bookViews>
    <workbookView xWindow="-35220" yWindow="1140" windowWidth="28800" windowHeight="17500" activeTab="6" xr2:uid="{00000000-000D-0000-FFFF-FFFF00000000}"/>
  </bookViews>
  <sheets>
    <sheet name="Welcome Guide" sheetId="1" r:id="rId1"/>
    <sheet name="Dashboard" sheetId="2" r:id="rId2"/>
    <sheet name="Income Tracker" sheetId="3" r:id="rId3"/>
    <sheet name="Expense Tracker" sheetId="4" r:id="rId4"/>
    <sheet name="Savings Tracker" sheetId="5" r:id="rId5"/>
    <sheet name="Stock Tracker" sheetId="6" r:id="rId6"/>
    <sheet name="Weight Tracker" sheetId="7" r:id="rId7"/>
    <sheet name="AI Insights" sheetId="12" r:id="rId8"/>
  </sheets>
  <definedNames>
    <definedName name="_xlchart.v1.0" hidden="1">'Weight Tracker'!$A$4:$A$6</definedName>
    <definedName name="_xlchart.v1.1" hidden="1">'Weight Tracker'!$B$3</definedName>
    <definedName name="_xlchart.v1.10" hidden="1">'Weight Tracker'!$B$3:$C$3</definedName>
    <definedName name="_xlchart.v1.11" hidden="1">'Weight Tracker'!$B$4:$C$4</definedName>
    <definedName name="_xlchart.v1.12" hidden="1">'Weight Tracker'!$B$5:$C$5</definedName>
    <definedName name="_xlchart.v1.13" hidden="1">'Weight Tracker'!$B$3:$C$3</definedName>
    <definedName name="_xlchart.v1.14" hidden="1">'Weight Tracker'!$B$4:$C$4</definedName>
    <definedName name="_xlchart.v1.15" hidden="1">'Weight Tracker'!$B$5:$C$5</definedName>
    <definedName name="_xlchart.v1.16" hidden="1">'Weight Tracker'!$A$4:$A$6</definedName>
    <definedName name="_xlchart.v1.17" hidden="1">'Weight Tracker'!$B$3</definedName>
    <definedName name="_xlchart.v1.18" hidden="1">'Weight Tracker'!$B$4:$B$6</definedName>
    <definedName name="_xlchart.v1.19" hidden="1">'Weight Tracker'!$C$3</definedName>
    <definedName name="_xlchart.v1.2" hidden="1">'Weight Tracker'!$B$4:$B$6</definedName>
    <definedName name="_xlchart.v1.20" hidden="1">'Weight Tracker'!$C$4:$C$6</definedName>
    <definedName name="_xlchart.v1.21" hidden="1">'Weight Tracker'!$A$4:$A$6</definedName>
    <definedName name="_xlchart.v1.22" hidden="1">'Weight Tracker'!$B$3</definedName>
    <definedName name="_xlchart.v1.23" hidden="1">'Weight Tracker'!$B$4:$B$6</definedName>
    <definedName name="_xlchart.v1.24" hidden="1">'Weight Tracker'!$C$3</definedName>
    <definedName name="_xlchart.v1.25" hidden="1">'Weight Tracker'!$C$4:$C$6</definedName>
    <definedName name="_xlchart.v1.3" hidden="1">'Weight Tracker'!$C$3</definedName>
    <definedName name="_xlchart.v1.31" hidden="1">'Weight Tracker'!$B$3:$C$3</definedName>
    <definedName name="_xlchart.v1.32" hidden="1">'Weight Tracker'!$B$4:$C$4</definedName>
    <definedName name="_xlchart.v1.33" hidden="1">'Weight Tracker'!$B$5:$C$5</definedName>
    <definedName name="_xlchart.v1.4" hidden="1">'Weight Tracker'!$C$4:$C$6</definedName>
    <definedName name="_xlchart.v1.5" hidden="1">'Weight Tracker'!$A$4:$A$6</definedName>
    <definedName name="_xlchart.v1.6" hidden="1">'Weight Tracker'!$B$3</definedName>
    <definedName name="_xlchart.v1.7" hidden="1">'Weight Tracker'!$B$4:$B$6</definedName>
    <definedName name="_xlchart.v1.8" hidden="1">'Weight Tracker'!$C$3</definedName>
    <definedName name="_xlchart.v1.9" hidden="1">'Weight Tracker'!$C$4:$C$6</definedName>
    <definedName name="_xlchart.v2.26" hidden="1">'Weight Tracker'!$A$4:$A$6</definedName>
    <definedName name="_xlchart.v2.27" hidden="1">'Weight Tracker'!$B$3</definedName>
    <definedName name="_xlchart.v2.28" hidden="1">'Weight Tracker'!$B$4:$B$6</definedName>
    <definedName name="_xlchart.v2.29" hidden="1">'Weight Tracker'!$C$3</definedName>
    <definedName name="_xlchart.v2.30" hidden="1">'Weight Tracker'!$C$4:$C$6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5" l="1"/>
  <c r="E4" i="5"/>
  <c r="H4" i="6"/>
  <c r="F4" i="6"/>
  <c r="B8" i="2"/>
  <c r="E7" i="2" s="1"/>
  <c r="C11" i="4"/>
  <c r="C5" i="2" s="1"/>
  <c r="D11" i="5"/>
  <c r="C6" i="2" s="1"/>
  <c r="C11" i="5"/>
  <c r="C10" i="3"/>
  <c r="C4" i="2" s="1"/>
  <c r="G4" i="6"/>
  <c r="D7" i="2"/>
  <c r="E4" i="2" l="1"/>
  <c r="C8" i="2"/>
  <c r="E8" i="2" s="1"/>
  <c r="D4" i="2"/>
  <c r="D5" i="2"/>
  <c r="E6" i="2"/>
  <c r="D6" i="2"/>
  <c r="E11" i="5"/>
  <c r="E5" i="2"/>
  <c r="D8" i="2" l="1"/>
</calcChain>
</file>

<file path=xl/sharedStrings.xml><?xml version="1.0" encoding="utf-8"?>
<sst xmlns="http://schemas.openxmlformats.org/spreadsheetml/2006/main" count="89" uniqueCount="77">
  <si>
    <t>🌟 Welcome to Your Life &amp; Budget Dashboard 2025 🌟</t>
  </si>
  <si>
    <t>Thank you for choosing the Life &amp; Budget Dashboard! This comprehensive tool will help you manage:</t>
  </si>
  <si>
    <t>• Personal Finances (Income, Expenses, Savings, Investments)</t>
  </si>
  <si>
    <t>• Health &amp; Wellness (Weight, Self-Care, Habits)</t>
  </si>
  <si>
    <t>• Daily Life (Meal Planning, Cleaning, Schedules)</t>
  </si>
  <si>
    <t>📊 HOW TO USE:</t>
  </si>
  <si>
    <t>1. Start by entering your monthly budget in the 'Dashboard' tab</t>
  </si>
  <si>
    <t>2. Track your income and expenses in their respective tabs</t>
  </si>
  <si>
    <t>3. Monitor your investments in the 'Stock Tracker'</t>
  </si>
  <si>
    <t>4. Use the health and lifestyle trackers to maintain balance</t>
  </si>
  <si>
    <t>5. Check the 'Dashboard' for insights and progress</t>
  </si>
  <si>
    <t>💡 TIP: Use the 'AI Insights' button to get personalized recommendations!</t>
  </si>
  <si>
    <t>🔒 Your data stays on your device. For cloud sync, save this file to your preferred cloud storage.</t>
  </si>
  <si>
    <t>📊 Dashboard Overview</t>
  </si>
  <si>
    <t>Category</t>
  </si>
  <si>
    <t>Planned</t>
  </si>
  <si>
    <t>Actual</t>
  </si>
  <si>
    <t>Difference</t>
  </si>
  <si>
    <t>% of Budget</t>
  </si>
  <si>
    <t>Income</t>
  </si>
  <si>
    <t>Expenses</t>
  </si>
  <si>
    <t>Savings</t>
  </si>
  <si>
    <t>Investments</t>
  </si>
  <si>
    <t>Total</t>
  </si>
  <si>
    <t>📋 Income Tracker</t>
  </si>
  <si>
    <t>Date</t>
  </si>
  <si>
    <t>Source</t>
  </si>
  <si>
    <t>Amount</t>
  </si>
  <si>
    <t>Notes</t>
  </si>
  <si>
    <t>Salary</t>
  </si>
  <si>
    <t>Primary Income</t>
  </si>
  <si>
    <t>Monthly salary</t>
  </si>
  <si>
    <t>Freelance</t>
  </si>
  <si>
    <t>Side Hustle</t>
  </si>
  <si>
    <t>Project X</t>
  </si>
  <si>
    <t>📋 Expense Tracker</t>
  </si>
  <si>
    <t>Description</t>
  </si>
  <si>
    <t>Payment Method</t>
  </si>
  <si>
    <t>Groceries</t>
  </si>
  <si>
    <t>Food</t>
  </si>
  <si>
    <t>Credit Card</t>
  </si>
  <si>
    <t>Weekly shopping</t>
  </si>
  <si>
    <t>📋 Savings Tracker</t>
  </si>
  <si>
    <t>Goal</t>
  </si>
  <si>
    <t>Target Amount</t>
  </si>
  <si>
    <t>Current Amount</t>
  </si>
  <si>
    <t>% Complete</t>
  </si>
  <si>
    <t>Emergency Fund</t>
  </si>
  <si>
    <t>📋 Stock Tracker</t>
  </si>
  <si>
    <t>Symbol</t>
  </si>
  <si>
    <t>Company</t>
  </si>
  <si>
    <t>Shares</t>
  </si>
  <si>
    <t>Avg Price</t>
  </si>
  <si>
    <t>Current Price</t>
  </si>
  <si>
    <t>Total Value</t>
  </si>
  <si>
    <t>Gain/Loss</t>
  </si>
  <si>
    <t>% Change</t>
  </si>
  <si>
    <t>AAPL</t>
  </si>
  <si>
    <t>Apple Inc.</t>
  </si>
  <si>
    <t>📋 Weight Tracker</t>
  </si>
  <si>
    <t>Weight (kg)</t>
  </si>
  <si>
    <t>Body Fat %</t>
  </si>
  <si>
    <t>Started new diet</t>
  </si>
  <si>
    <t>Feeling good!</t>
  </si>
  <si>
    <t>🤖 AI-Powered Financial Insights</t>
  </si>
  <si>
    <t>This section provides AI-generated insights based on your data:</t>
  </si>
  <si>
    <t>🔍 To get started:</t>
  </si>
  <si>
    <t>1. Fill in your financial data in the respective sheets</t>
  </si>
  <si>
    <t>2. Click the 'Generate AI Insights' button in the app</t>
  </si>
  <si>
    <t>3. Review personalized recommendations here</t>
  </si>
  <si>
    <t>The AI will analyze your spending patterns, saving habits, and overall financial health to provide actionable advice.</t>
  </si>
  <si>
    <t>💡 Tip: The more data you provide, the more accurate the insights will be!</t>
  </si>
  <si>
    <t>TOTAL</t>
  </si>
  <si>
    <t>Console</t>
  </si>
  <si>
    <t>Feeling Better</t>
  </si>
  <si>
    <t>Eating out</t>
  </si>
  <si>
    <t>Moment of Weekness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</si>
</sst>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6F42C1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F42C1"/>
        <bgColor rgb="FF6F42C1"/>
      </patternFill>
    </fill>
    <fill>
      <patternFill patternType="solid">
        <fgColor rgb="FFF2E6FF"/>
        <bgColor rgb="FFF2E6FF"/>
      </patternFill>
    </fill>
    <fill>
      <patternFill patternType="solid">
        <fgColor rgb="FFB0E0E6"/>
        <bgColor rgb="FFB0E0E6"/>
      </patternFill>
    </fill>
    <fill>
      <patternFill patternType="solid">
        <fgColor rgb="FFFFB6C1"/>
        <bgColor rgb="FFFFB6C1"/>
      </patternFill>
    </fill>
    <fill>
      <patternFill patternType="solid">
        <fgColor rgb="FF98FB98"/>
        <bgColor rgb="FF98FB98"/>
      </patternFill>
    </fill>
    <fill>
      <patternFill patternType="solid">
        <fgColor rgb="FFD8BFD8"/>
        <bgColor rgb="FFD8BFD8"/>
      </patternFill>
    </fill>
    <fill>
      <patternFill patternType="solid">
        <fgColor rgb="FFFFDAB9"/>
        <bgColor rgb="FFFFDAB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3" fillId="4" borderId="1" xfId="0" applyFont="1" applyFill="1" applyBorder="1"/>
    <xf numFmtId="164" fontId="0" fillId="0" borderId="1" xfId="0" applyNumberFormat="1" applyBorder="1"/>
    <xf numFmtId="0" fontId="0" fillId="0" borderId="1" xfId="0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164" fontId="0" fillId="0" borderId="2" xfId="0" applyNumberFormat="1" applyBorder="1"/>
    <xf numFmtId="0" fontId="0" fillId="0" borderId="2" xfId="0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1" xfId="0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Planned vs Actual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Planned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Dashboard!$A$4:$A$7</c:f>
              <c:strCache>
                <c:ptCount val="4"/>
                <c:pt idx="0">
                  <c:v>Income</c:v>
                </c:pt>
                <c:pt idx="1">
                  <c:v>Expenses</c:v>
                </c:pt>
                <c:pt idx="2">
                  <c:v>Savings</c:v>
                </c:pt>
                <c:pt idx="3">
                  <c:v>Investments</c:v>
                </c:pt>
              </c:strCache>
            </c:strRef>
          </c:cat>
          <c:val>
            <c:numRef>
              <c:f>Dashboard!$B$4:$B$7</c:f>
              <c:numCache>
                <c:formatCode>General</c:formatCode>
                <c:ptCount val="4"/>
                <c:pt idx="0">
                  <c:v>400</c:v>
                </c:pt>
                <c:pt idx="1">
                  <c:v>100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6-5041-BC9B-1407D6F53CF5}"/>
            </c:ext>
          </c:extLst>
        </c:ser>
        <c:ser>
          <c:idx val="1"/>
          <c:order val="1"/>
          <c:tx>
            <c:strRef>
              <c:f>Dashboard!$C$3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Dashboard!$A$4:$A$7</c:f>
              <c:strCache>
                <c:ptCount val="4"/>
                <c:pt idx="0">
                  <c:v>Income</c:v>
                </c:pt>
                <c:pt idx="1">
                  <c:v>Expenses</c:v>
                </c:pt>
                <c:pt idx="2">
                  <c:v>Savings</c:v>
                </c:pt>
                <c:pt idx="3">
                  <c:v>Investments</c:v>
                </c:pt>
              </c:strCache>
            </c:strRef>
          </c:cat>
          <c:val>
            <c:numRef>
              <c:f>Dashboard!$C$4:$C$7</c:f>
              <c:numCache>
                <c:formatCode>General</c:formatCode>
                <c:ptCount val="4"/>
                <c:pt idx="0">
                  <c:v>0</c:v>
                </c:pt>
                <c:pt idx="1">
                  <c:v>87</c:v>
                </c:pt>
                <c:pt idx="2">
                  <c:v>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96-5041-BC9B-1407D6F53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'Weight Tracker'!$B$3</c:f>
              <c:strCache>
                <c:ptCount val="1"/>
                <c:pt idx="0">
                  <c:v>Weight (kg)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'Weight Tracker'!$A$4:$A$6</c:f>
              <c:numCache>
                <c:formatCode>yyyy\-mm\-dd</c:formatCode>
                <c:ptCount val="3"/>
                <c:pt idx="0">
                  <c:v>45948</c:v>
                </c:pt>
                <c:pt idx="1">
                  <c:v>45955</c:v>
                </c:pt>
                <c:pt idx="2" formatCode="m/d/yy">
                  <c:v>45949</c:v>
                </c:pt>
              </c:numCache>
            </c:numRef>
          </c:cat>
          <c:val>
            <c:numRef>
              <c:f>'Weight Tracker'!$B$4:$B$6</c:f>
              <c:numCache>
                <c:formatCode>General</c:formatCode>
                <c:ptCount val="3"/>
                <c:pt idx="0">
                  <c:v>75.5</c:v>
                </c:pt>
                <c:pt idx="1">
                  <c:v>74.8</c:v>
                </c:pt>
                <c:pt idx="2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A2-EF44-85D1-AE9B2DA88F1E}"/>
            </c:ext>
          </c:extLst>
        </c:ser>
        <c:ser>
          <c:idx val="1"/>
          <c:order val="1"/>
          <c:tx>
            <c:strRef>
              <c:f>'Weight Tracker'!$C$3</c:f>
              <c:strCache>
                <c:ptCount val="1"/>
                <c:pt idx="0">
                  <c:v>Body Fat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'Weight Tracker'!$A$4:$A$6</c:f>
              <c:numCache>
                <c:formatCode>yyyy\-mm\-dd</c:formatCode>
                <c:ptCount val="3"/>
                <c:pt idx="0">
                  <c:v>45948</c:v>
                </c:pt>
                <c:pt idx="1">
                  <c:v>45955</c:v>
                </c:pt>
                <c:pt idx="2" formatCode="m/d/yy">
                  <c:v>45949</c:v>
                </c:pt>
              </c:numCache>
            </c:numRef>
          </c:cat>
          <c:val>
            <c:numRef>
              <c:f>'Weight Tracker'!$C$4:$C$6</c:f>
              <c:numCache>
                <c:formatCode>General</c:formatCode>
                <c:ptCount val="3"/>
                <c:pt idx="0">
                  <c:v>22</c:v>
                </c:pt>
                <c:pt idx="1">
                  <c:v>21.5</c:v>
                </c:pt>
                <c:pt idx="2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A2-EF44-85D1-AE9B2DA88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0630111"/>
        <c:axId val="980567087"/>
      </c:lineChart>
      <c:dateAx>
        <c:axId val="980630111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567087"/>
        <c:crosses val="autoZero"/>
        <c:auto val="1"/>
        <c:lblOffset val="100"/>
        <c:baseTimeUnit val="days"/>
      </c:dateAx>
      <c:valAx>
        <c:axId val="98056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63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520700</xdr:colOff>
      <xdr:row>5</xdr:row>
      <xdr:rowOff>114300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12</xdr:row>
      <xdr:rowOff>171450</xdr:rowOff>
    </xdr:from>
    <xdr:to>
      <xdr:col>14</xdr:col>
      <xdr:colOff>355600</xdr:colOff>
      <xdr:row>27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ED2C050-6CD3-AD38-F3E3-A525FBC78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sqref="A1:J1"/>
    </sheetView>
  </sheetViews>
  <sheetFormatPr baseColWidth="10" defaultColWidth="8.83203125" defaultRowHeight="15" x14ac:dyDescent="0.2"/>
  <sheetData>
    <row r="1" spans="1:10" ht="30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0" customHeight="1" x14ac:dyDescent="0.2"/>
    <row r="3" spans="1:10" x14ac:dyDescent="0.2">
      <c r="A3" s="1" t="s">
        <v>1</v>
      </c>
    </row>
    <row r="4" spans="1:10" x14ac:dyDescent="0.2">
      <c r="A4" s="2" t="s">
        <v>2</v>
      </c>
    </row>
    <row r="5" spans="1:10" x14ac:dyDescent="0.2">
      <c r="A5" s="2" t="s">
        <v>3</v>
      </c>
    </row>
    <row r="6" spans="1:10" x14ac:dyDescent="0.2">
      <c r="A6" s="2" t="s">
        <v>4</v>
      </c>
    </row>
    <row r="8" spans="1:10" x14ac:dyDescent="0.2">
      <c r="A8" s="1" t="s">
        <v>5</v>
      </c>
    </row>
    <row r="9" spans="1:10" x14ac:dyDescent="0.2">
      <c r="A9" t="s">
        <v>6</v>
      </c>
    </row>
    <row r="10" spans="1:10" x14ac:dyDescent="0.2">
      <c r="A10" t="s">
        <v>7</v>
      </c>
    </row>
    <row r="11" spans="1:10" x14ac:dyDescent="0.2">
      <c r="A11" t="s">
        <v>8</v>
      </c>
    </row>
    <row r="12" spans="1:10" x14ac:dyDescent="0.2">
      <c r="A12" t="s">
        <v>9</v>
      </c>
    </row>
    <row r="13" spans="1:10" x14ac:dyDescent="0.2">
      <c r="A13" t="s">
        <v>10</v>
      </c>
    </row>
    <row r="15" spans="1:10" x14ac:dyDescent="0.2">
      <c r="A15" s="1" t="s">
        <v>11</v>
      </c>
    </row>
    <row r="17" spans="1:1" x14ac:dyDescent="0.2">
      <c r="A17" t="s">
        <v>12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workbookViewId="0">
      <selection activeCell="C6" sqref="C6"/>
    </sheetView>
  </sheetViews>
  <sheetFormatPr baseColWidth="10" defaultColWidth="8.83203125" defaultRowHeight="15" x14ac:dyDescent="0.2"/>
  <cols>
    <col min="5" max="5" width="12.1640625" bestFit="1" customWidth="1"/>
  </cols>
  <sheetData>
    <row r="1" spans="1:10" ht="30" customHeight="1" x14ac:dyDescent="0.25">
      <c r="A1" s="11" t="s">
        <v>13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0" customHeight="1" x14ac:dyDescent="0.2"/>
    <row r="3" spans="1:10" x14ac:dyDescent="0.2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</row>
    <row r="4" spans="1:10" x14ac:dyDescent="0.2">
      <c r="A4" t="s">
        <v>19</v>
      </c>
      <c r="B4">
        <v>400</v>
      </c>
      <c r="C4">
        <f>'Income Tracker'!$C$10</f>
        <v>0</v>
      </c>
      <c r="D4">
        <f>C4-B4</f>
        <v>-400</v>
      </c>
      <c r="E4">
        <f>C4/SUM(B4:B8)</f>
        <v>0</v>
      </c>
    </row>
    <row r="5" spans="1:10" x14ac:dyDescent="0.2">
      <c r="A5" t="s">
        <v>20</v>
      </c>
      <c r="B5">
        <v>100</v>
      </c>
      <c r="C5">
        <f>'Expense Tracker'!$C$11</f>
        <v>87</v>
      </c>
      <c r="D5">
        <f>C5-B5</f>
        <v>-13</v>
      </c>
      <c r="E5">
        <f>C5/SUM(B4:B8)</f>
        <v>2.9000000000000001E-2</v>
      </c>
    </row>
    <row r="6" spans="1:10" x14ac:dyDescent="0.2">
      <c r="A6" t="s">
        <v>21</v>
      </c>
      <c r="B6">
        <v>1000</v>
      </c>
      <c r="C6">
        <f>'Savings Tracker'!$D$11</f>
        <v>361</v>
      </c>
      <c r="D6">
        <f>C6-B6</f>
        <v>-639</v>
      </c>
      <c r="E6">
        <f>C6/SUM(B4:B8)</f>
        <v>0.12033333333333333</v>
      </c>
    </row>
    <row r="7" spans="1:10" x14ac:dyDescent="0.2">
      <c r="A7" t="s">
        <v>22</v>
      </c>
      <c r="D7">
        <f>C7-B7</f>
        <v>0</v>
      </c>
      <c r="E7">
        <f>C7/SUM(B4:B8)</f>
        <v>0</v>
      </c>
    </row>
    <row r="8" spans="1:10" x14ac:dyDescent="0.2">
      <c r="A8" s="24" t="s">
        <v>23</v>
      </c>
      <c r="B8" s="24">
        <f>SUM(B4:B7)</f>
        <v>1500</v>
      </c>
      <c r="C8" s="24">
        <f>SUM(C4:C7)</f>
        <v>448</v>
      </c>
      <c r="D8" s="24">
        <f>C8-B8</f>
        <v>-1052</v>
      </c>
      <c r="E8" s="24">
        <f>C8/SUM(B4:B8)</f>
        <v>0.14933333333333335</v>
      </c>
    </row>
  </sheetData>
  <mergeCells count="1">
    <mergeCell ref="A1:J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>
      <selection activeCell="I7" sqref="I7"/>
    </sheetView>
  </sheetViews>
  <sheetFormatPr baseColWidth="10" defaultColWidth="8.83203125" defaultRowHeight="15" x14ac:dyDescent="0.2"/>
  <cols>
    <col min="1" max="1" width="21.6640625" customWidth="1"/>
    <col min="2" max="2" width="8.5" customWidth="1"/>
    <col min="3" max="3" width="7.5" bestFit="1" customWidth="1"/>
    <col min="4" max="4" width="13.1640625" bestFit="1" customWidth="1"/>
    <col min="5" max="5" width="12.33203125" bestFit="1" customWidth="1"/>
  </cols>
  <sheetData>
    <row r="1" spans="1:10" ht="30" customHeight="1" x14ac:dyDescent="0.25">
      <c r="A1" s="13" t="s">
        <v>24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0" customHeight="1" x14ac:dyDescent="0.2"/>
    <row r="3" spans="1:10" x14ac:dyDescent="0.2">
      <c r="A3" s="4" t="s">
        <v>25</v>
      </c>
      <c r="B3" s="4" t="s">
        <v>26</v>
      </c>
      <c r="C3" s="4" t="s">
        <v>27</v>
      </c>
      <c r="D3" s="4" t="s">
        <v>14</v>
      </c>
      <c r="E3" s="4" t="s">
        <v>28</v>
      </c>
    </row>
    <row r="4" spans="1:10" x14ac:dyDescent="0.2">
      <c r="A4" s="5">
        <v>45955</v>
      </c>
      <c r="B4" s="6" t="s">
        <v>29</v>
      </c>
      <c r="C4" s="6"/>
      <c r="D4" s="6" t="s">
        <v>30</v>
      </c>
      <c r="E4" s="6" t="s">
        <v>31</v>
      </c>
    </row>
    <row r="5" spans="1:10" x14ac:dyDescent="0.2">
      <c r="A5" s="18">
        <v>45945</v>
      </c>
      <c r="B5" s="19" t="s">
        <v>32</v>
      </c>
      <c r="C5" s="19"/>
      <c r="D5" s="19" t="s">
        <v>33</v>
      </c>
      <c r="E5" s="19" t="s">
        <v>34</v>
      </c>
    </row>
    <row r="6" spans="1:10" x14ac:dyDescent="0.2">
      <c r="A6" s="18"/>
      <c r="B6" s="19"/>
      <c r="C6" s="19"/>
      <c r="D6" s="19"/>
      <c r="E6" s="19"/>
    </row>
    <row r="7" spans="1:10" x14ac:dyDescent="0.2">
      <c r="A7" s="18"/>
      <c r="B7" s="19"/>
      <c r="C7" s="19"/>
      <c r="D7" s="19"/>
      <c r="E7" s="19"/>
    </row>
    <row r="8" spans="1:10" x14ac:dyDescent="0.2">
      <c r="A8" s="18"/>
      <c r="B8" s="19"/>
      <c r="C8" s="19"/>
      <c r="D8" s="19"/>
      <c r="E8" s="19"/>
    </row>
    <row r="9" spans="1:10" x14ac:dyDescent="0.2">
      <c r="A9" s="18"/>
      <c r="B9" s="19"/>
      <c r="C9" s="19"/>
      <c r="D9" s="19"/>
      <c r="E9" s="19"/>
    </row>
    <row r="10" spans="1:10" x14ac:dyDescent="0.2">
      <c r="A10" s="20" t="s">
        <v>72</v>
      </c>
      <c r="B10" s="20"/>
      <c r="C10" s="6">
        <f>SUM(C4:C9)</f>
        <v>0</v>
      </c>
      <c r="D10" s="6"/>
      <c r="E10" s="6"/>
    </row>
  </sheetData>
  <mergeCells count="2">
    <mergeCell ref="A1:J1"/>
    <mergeCell ref="A10:B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22.83203125" customWidth="1"/>
    <col min="2" max="2" width="10.1640625" bestFit="1" customWidth="1"/>
    <col min="5" max="5" width="14.6640625" bestFit="1" customWidth="1"/>
    <col min="6" max="6" width="17.33203125" bestFit="1" customWidth="1"/>
  </cols>
  <sheetData>
    <row r="1" spans="1:10" ht="30" customHeight="1" x14ac:dyDescent="0.25">
      <c r="A1" s="14" t="s">
        <v>35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0" customHeight="1" x14ac:dyDescent="0.2"/>
    <row r="3" spans="1:10" x14ac:dyDescent="0.2">
      <c r="A3" s="7" t="s">
        <v>25</v>
      </c>
      <c r="B3" s="7" t="s">
        <v>36</v>
      </c>
      <c r="C3" s="7" t="s">
        <v>27</v>
      </c>
      <c r="D3" s="7" t="s">
        <v>14</v>
      </c>
      <c r="E3" s="7" t="s">
        <v>37</v>
      </c>
      <c r="F3" s="7" t="s">
        <v>28</v>
      </c>
    </row>
    <row r="4" spans="1:10" x14ac:dyDescent="0.2">
      <c r="A4" s="5">
        <v>45955</v>
      </c>
      <c r="B4" s="6" t="s">
        <v>38</v>
      </c>
      <c r="C4" s="6">
        <v>70</v>
      </c>
      <c r="D4" s="6" t="s">
        <v>39</v>
      </c>
      <c r="E4" s="6" t="s">
        <v>40</v>
      </c>
      <c r="F4" s="6" t="s">
        <v>41</v>
      </c>
    </row>
    <row r="5" spans="1:10" x14ac:dyDescent="0.2">
      <c r="A5" s="18">
        <v>45962</v>
      </c>
      <c r="B5" s="19" t="s">
        <v>75</v>
      </c>
      <c r="C5" s="19">
        <v>17</v>
      </c>
      <c r="D5" s="19" t="s">
        <v>39</v>
      </c>
      <c r="E5" s="6" t="s">
        <v>40</v>
      </c>
      <c r="F5" s="19" t="s">
        <v>76</v>
      </c>
    </row>
    <row r="6" spans="1:10" x14ac:dyDescent="0.2">
      <c r="A6" s="18"/>
      <c r="B6" s="19"/>
      <c r="C6" s="19"/>
      <c r="D6" s="19"/>
      <c r="E6" s="19"/>
      <c r="F6" s="19"/>
    </row>
    <row r="7" spans="1:10" x14ac:dyDescent="0.2">
      <c r="A7" s="18"/>
      <c r="B7" s="19"/>
      <c r="C7" s="19"/>
      <c r="D7" s="19"/>
      <c r="E7" s="19"/>
      <c r="F7" s="19"/>
    </row>
    <row r="8" spans="1:10" x14ac:dyDescent="0.2">
      <c r="A8" s="18"/>
      <c r="B8" s="19"/>
      <c r="C8" s="19"/>
      <c r="D8" s="19"/>
      <c r="E8" s="19"/>
      <c r="F8" s="19"/>
    </row>
    <row r="9" spans="1:10" x14ac:dyDescent="0.2">
      <c r="A9" s="18"/>
      <c r="B9" s="19"/>
      <c r="C9" s="19"/>
      <c r="D9" s="19"/>
      <c r="E9" s="19"/>
      <c r="F9" s="19"/>
    </row>
    <row r="10" spans="1:10" x14ac:dyDescent="0.2">
      <c r="A10" s="18"/>
      <c r="B10" s="19"/>
      <c r="C10" s="19"/>
      <c r="D10" s="19"/>
      <c r="E10" s="19"/>
      <c r="F10" s="19"/>
    </row>
    <row r="11" spans="1:10" x14ac:dyDescent="0.2">
      <c r="A11" s="21" t="s">
        <v>72</v>
      </c>
      <c r="B11" s="21"/>
      <c r="C11" s="6">
        <f>SUM(C4:C10)</f>
        <v>87</v>
      </c>
      <c r="D11" s="6"/>
      <c r="E11" s="6"/>
      <c r="F11" s="6"/>
    </row>
  </sheetData>
  <mergeCells count="2">
    <mergeCell ref="A1:J1"/>
    <mergeCell ref="A11:B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workbookViewId="0">
      <selection activeCell="I11" sqref="I11"/>
    </sheetView>
  </sheetViews>
  <sheetFormatPr baseColWidth="10" defaultColWidth="8.83203125" defaultRowHeight="15" x14ac:dyDescent="0.2"/>
  <cols>
    <col min="1" max="1" width="22.83203125" customWidth="1"/>
    <col min="3" max="3" width="12.83203125" customWidth="1"/>
    <col min="4" max="4" width="13.83203125" bestFit="1" customWidth="1"/>
    <col min="5" max="5" width="10.5" bestFit="1" customWidth="1"/>
  </cols>
  <sheetData>
    <row r="1" spans="1:10" ht="30" customHeight="1" x14ac:dyDescent="0.25">
      <c r="A1" s="15" t="s">
        <v>42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0" customHeight="1" x14ac:dyDescent="0.2"/>
    <row r="3" spans="1:10" x14ac:dyDescent="0.2">
      <c r="A3" s="8" t="s">
        <v>25</v>
      </c>
      <c r="B3" s="8" t="s">
        <v>43</v>
      </c>
      <c r="C3" s="8" t="s">
        <v>44</v>
      </c>
      <c r="D3" s="8" t="s">
        <v>45</v>
      </c>
      <c r="E3" s="8" t="s">
        <v>46</v>
      </c>
    </row>
    <row r="4" spans="1:10" x14ac:dyDescent="0.2">
      <c r="A4" s="5">
        <v>45955</v>
      </c>
      <c r="B4" s="6" t="s">
        <v>47</v>
      </c>
      <c r="C4" s="6">
        <v>600</v>
      </c>
      <c r="D4" s="6">
        <v>361</v>
      </c>
      <c r="E4" s="6">
        <f>D4/C4</f>
        <v>0.60166666666666668</v>
      </c>
    </row>
    <row r="5" spans="1:10" x14ac:dyDescent="0.2">
      <c r="A5" s="22">
        <v>45962</v>
      </c>
      <c r="B5" s="6" t="s">
        <v>73</v>
      </c>
      <c r="C5" s="6">
        <v>500</v>
      </c>
      <c r="D5" s="6">
        <v>0</v>
      </c>
      <c r="E5" s="6">
        <f>D5/C5</f>
        <v>0</v>
      </c>
    </row>
    <row r="6" spans="1:10" x14ac:dyDescent="0.2">
      <c r="A6" s="5"/>
      <c r="B6" s="6"/>
      <c r="C6" s="6"/>
      <c r="D6" s="6"/>
      <c r="E6" s="6"/>
    </row>
    <row r="7" spans="1:10" x14ac:dyDescent="0.2">
      <c r="A7" s="5"/>
      <c r="B7" s="6"/>
      <c r="C7" s="6"/>
      <c r="D7" s="6"/>
      <c r="E7" s="6"/>
    </row>
    <row r="8" spans="1:10" x14ac:dyDescent="0.2">
      <c r="A8" s="5"/>
      <c r="B8" s="6"/>
      <c r="C8" s="6"/>
      <c r="D8" s="6"/>
      <c r="E8" s="6"/>
    </row>
    <row r="9" spans="1:10" x14ac:dyDescent="0.2">
      <c r="A9" s="5"/>
      <c r="B9" s="6"/>
      <c r="C9" s="6"/>
      <c r="D9" s="6"/>
      <c r="E9" s="6"/>
    </row>
    <row r="10" spans="1:10" x14ac:dyDescent="0.2">
      <c r="A10" s="22"/>
      <c r="B10" s="6"/>
      <c r="C10" s="6"/>
      <c r="D10" s="6"/>
      <c r="E10" s="6"/>
    </row>
    <row r="11" spans="1:10" x14ac:dyDescent="0.2">
      <c r="A11" s="6" t="s">
        <v>23</v>
      </c>
      <c r="B11" s="6"/>
      <c r="C11" s="6">
        <f>SUM(C4:C10)</f>
        <v>1100</v>
      </c>
      <c r="D11" s="6">
        <f>SUM(D4:D10)</f>
        <v>361</v>
      </c>
      <c r="E11" s="6">
        <f>D11/C11</f>
        <v>0.32818181818181819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"/>
  <sheetViews>
    <sheetView workbookViewId="0">
      <selection activeCell="E5" sqref="E5"/>
    </sheetView>
  </sheetViews>
  <sheetFormatPr baseColWidth="10" defaultColWidth="8.83203125" defaultRowHeight="15" x14ac:dyDescent="0.2"/>
  <cols>
    <col min="1" max="1" width="20.33203125" customWidth="1"/>
    <col min="5" max="5" width="11.5" bestFit="1" customWidth="1"/>
    <col min="8" max="8" width="8.5" bestFit="1" customWidth="1"/>
  </cols>
  <sheetData>
    <row r="1" spans="1:10" ht="30" customHeight="1" x14ac:dyDescent="0.25">
      <c r="A1" s="16" t="s">
        <v>48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0" customHeight="1" x14ac:dyDescent="0.2"/>
    <row r="3" spans="1:10" x14ac:dyDescent="0.2">
      <c r="A3" s="9" t="s">
        <v>49</v>
      </c>
      <c r="B3" s="9" t="s">
        <v>50</v>
      </c>
      <c r="C3" s="9" t="s">
        <v>51</v>
      </c>
      <c r="D3" s="9" t="s">
        <v>52</v>
      </c>
      <c r="E3" s="9" t="s">
        <v>53</v>
      </c>
      <c r="F3" s="9" t="s">
        <v>54</v>
      </c>
      <c r="G3" s="9" t="s">
        <v>55</v>
      </c>
      <c r="H3" s="9" t="s">
        <v>56</v>
      </c>
    </row>
    <row r="4" spans="1:10" x14ac:dyDescent="0.2">
      <c r="A4" s="6" t="s">
        <v>57</v>
      </c>
      <c r="B4" s="6" t="s">
        <v>58</v>
      </c>
      <c r="C4" s="6">
        <v>10</v>
      </c>
      <c r="D4" s="6">
        <v>150</v>
      </c>
      <c r="E4" s="6">
        <v>175</v>
      </c>
      <c r="F4" s="6">
        <f>C4*E4</f>
        <v>1750</v>
      </c>
      <c r="G4" s="6">
        <f>F4-(C4*D4)</f>
        <v>250</v>
      </c>
      <c r="H4" s="6">
        <f>(E4-D4)/D4</f>
        <v>0.16666666666666666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tabSelected="1" workbookViewId="0">
      <selection activeCell="F16" sqref="F16"/>
    </sheetView>
  </sheetViews>
  <sheetFormatPr baseColWidth="10" defaultColWidth="8.83203125" defaultRowHeight="15" x14ac:dyDescent="0.2"/>
  <cols>
    <col min="1" max="1" width="21.6640625" customWidth="1"/>
    <col min="2" max="2" width="9.83203125" bestFit="1" customWidth="1"/>
    <col min="4" max="4" width="13.5" bestFit="1" customWidth="1"/>
  </cols>
  <sheetData>
    <row r="1" spans="1:10" ht="30" customHeight="1" x14ac:dyDescent="0.25">
      <c r="A1" s="17" t="s">
        <v>59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0" customHeight="1" x14ac:dyDescent="0.2"/>
    <row r="3" spans="1:10" x14ac:dyDescent="0.2">
      <c r="A3" s="10" t="s">
        <v>25</v>
      </c>
      <c r="B3" s="10" t="s">
        <v>60</v>
      </c>
      <c r="C3" s="10" t="s">
        <v>61</v>
      </c>
      <c r="D3" s="10" t="s">
        <v>28</v>
      </c>
    </row>
    <row r="4" spans="1:10" x14ac:dyDescent="0.2">
      <c r="A4" s="5">
        <v>45948</v>
      </c>
      <c r="B4" s="6">
        <v>75.5</v>
      </c>
      <c r="C4" s="6">
        <v>22</v>
      </c>
      <c r="D4" s="6" t="s">
        <v>62</v>
      </c>
    </row>
    <row r="5" spans="1:10" x14ac:dyDescent="0.2">
      <c r="A5" s="5">
        <v>45955</v>
      </c>
      <c r="B5" s="6">
        <v>74.8</v>
      </c>
      <c r="C5" s="6">
        <v>21.5</v>
      </c>
      <c r="D5" s="6" t="s">
        <v>63</v>
      </c>
    </row>
    <row r="6" spans="1:10" x14ac:dyDescent="0.2">
      <c r="A6" s="22">
        <v>45949</v>
      </c>
      <c r="B6" s="6">
        <v>77</v>
      </c>
      <c r="C6" s="6">
        <v>21</v>
      </c>
      <c r="D6" s="23" t="s">
        <v>74</v>
      </c>
    </row>
  </sheetData>
  <mergeCells count="1">
    <mergeCell ref="A1:J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2"/>
  <sheetViews>
    <sheetView workbookViewId="0">
      <selection activeCell="L17" sqref="L17"/>
    </sheetView>
  </sheetViews>
  <sheetFormatPr baseColWidth="10" defaultColWidth="8.83203125" defaultRowHeight="15" x14ac:dyDescent="0.2"/>
  <cols>
    <col min="1" max="1" width="9" customWidth="1"/>
  </cols>
  <sheetData>
    <row r="1" spans="1:10" ht="30" customHeight="1" x14ac:dyDescent="0.25">
      <c r="A1" s="11" t="s">
        <v>64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0" customHeight="1" x14ac:dyDescent="0.2"/>
    <row r="3" spans="1:10" x14ac:dyDescent="0.2">
      <c r="A3" t="s">
        <v>65</v>
      </c>
    </row>
    <row r="5" spans="1:10" x14ac:dyDescent="0.2">
      <c r="A5" s="1" t="s">
        <v>66</v>
      </c>
    </row>
    <row r="6" spans="1:10" x14ac:dyDescent="0.2">
      <c r="A6" t="s">
        <v>67</v>
      </c>
    </row>
    <row r="7" spans="1:10" x14ac:dyDescent="0.2">
      <c r="A7" t="s">
        <v>68</v>
      </c>
    </row>
    <row r="8" spans="1:10" x14ac:dyDescent="0.2">
      <c r="A8" t="s">
        <v>69</v>
      </c>
    </row>
    <row r="10" spans="1:10" x14ac:dyDescent="0.2">
      <c r="A10" t="s">
        <v>70</v>
      </c>
    </row>
    <row r="12" spans="1:10" x14ac:dyDescent="0.2">
      <c r="A12" s="1" t="s">
        <v>71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Welcome Guide</vt:lpstr>
      <vt:lpstr>Dashboard</vt:lpstr>
      <vt:lpstr>Income Tracker</vt:lpstr>
      <vt:lpstr>Expense Tracker</vt:lpstr>
      <vt:lpstr>Savings Tracker</vt:lpstr>
      <vt:lpstr>Stock Tracker</vt:lpstr>
      <vt:lpstr>Weight Tracker</vt:lpstr>
      <vt:lpstr>AI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 Gathukia 2024 (N1292714)</cp:lastModifiedBy>
  <dcterms:created xsi:type="dcterms:W3CDTF">2025-10-25T16:22:14Z</dcterms:created>
  <dcterms:modified xsi:type="dcterms:W3CDTF">2025-11-01T23:28:55Z</dcterms:modified>
</cp:coreProperties>
</file>