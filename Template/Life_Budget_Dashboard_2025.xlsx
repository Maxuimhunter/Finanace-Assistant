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nthonygathukia/Desktop/Me/Finance Folder's/Finance Budget Script/Test Site/"/>
    </mc:Choice>
  </mc:AlternateContent>
  <xr:revisionPtr revIDLastSave="0" documentId="13_ncr:1_{8BFD167D-D88F-8B4E-A1C7-2C05D68E08FD}" xr6:coauthVersionLast="47" xr6:coauthVersionMax="47" xr10:uidLastSave="{00000000-0000-0000-0000-000000000000}"/>
  <bookViews>
    <workbookView xWindow="-36540" yWindow="2000" windowWidth="28800" windowHeight="17500" firstSheet="1" activeTab="5" xr2:uid="{00000000-000D-0000-FFFF-FFFF00000000}"/>
  </bookViews>
  <sheets>
    <sheet name="Welcome Guide" sheetId="1" r:id="rId1"/>
    <sheet name="Dashboard" sheetId="2" r:id="rId2"/>
    <sheet name="Income Tracker" sheetId="3" r:id="rId3"/>
    <sheet name="Expense Tracker" sheetId="4" r:id="rId4"/>
    <sheet name="Savings Tracker" sheetId="5" r:id="rId5"/>
    <sheet name="Stock Tracker" sheetId="6" r:id="rId6"/>
    <sheet name="Weight Tracker" sheetId="7" r:id="rId7"/>
    <sheet name="Habit Tracker" sheetId="8" r:id="rId8"/>
    <sheet name="Cleaning Checklist" sheetId="9" r:id="rId9"/>
    <sheet name="Meal Planner" sheetId="10" r:id="rId10"/>
    <sheet name="Time Table" sheetId="11" r:id="rId11"/>
    <sheet name="AI Insight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6" l="1"/>
  <c r="G4" i="6"/>
  <c r="F4" i="6"/>
  <c r="E4" i="5"/>
  <c r="C8" i="2"/>
  <c r="E8" i="2" s="1"/>
  <c r="B8" i="2"/>
  <c r="E5" i="2" s="1"/>
  <c r="E7" i="2"/>
  <c r="D7" i="2"/>
  <c r="E6" i="2"/>
  <c r="D6" i="2"/>
  <c r="D5" i="2"/>
  <c r="D4" i="2"/>
  <c r="D8" i="2" l="1"/>
  <c r="E4" i="2"/>
</calcChain>
</file>

<file path=xl/sharedStrings.xml><?xml version="1.0" encoding="utf-8"?>
<sst xmlns="http://schemas.openxmlformats.org/spreadsheetml/2006/main" count="159" uniqueCount="135">
  <si>
    <t>🌟 Welcome to Your Life &amp; Budget Dashboard 2025 🌟</t>
  </si>
  <si>
    <t>Thank you for choosing the Life &amp; Budget Dashboard! This comprehensive tool will help you manage:</t>
  </si>
  <si>
    <t>• Personal Finances (Income, Expenses, Savings, Investments)</t>
  </si>
  <si>
    <t>• Health &amp; Wellness (Weight, Self-Care, Habits)</t>
  </si>
  <si>
    <t>• Daily Life (Meal Planning, Cleaning, Schedules)</t>
  </si>
  <si>
    <t>📊 HOW TO USE:</t>
  </si>
  <si>
    <t>1. Start by entering your monthly budget in the 'Dashboard' tab</t>
  </si>
  <si>
    <t>2. Track your income and expenses in their respective tabs</t>
  </si>
  <si>
    <t>3. Monitor your investments in the 'Stock Tracker'</t>
  </si>
  <si>
    <t>4. Use the health and lifestyle trackers to maintain balance</t>
  </si>
  <si>
    <t>5. Check the 'Dashboard' for insights and progress</t>
  </si>
  <si>
    <t>💡 TIP: Use the 'AI Insights' button to get personalized recommendations!</t>
  </si>
  <si>
    <t>🔒 Your data stays on your device. For cloud sync, save this file to your preferred cloud storage.</t>
  </si>
  <si>
    <t>📊 Dashboard Overview</t>
  </si>
  <si>
    <t>Category</t>
  </si>
  <si>
    <t>Planned</t>
  </si>
  <si>
    <t>Actual</t>
  </si>
  <si>
    <t>Difference</t>
  </si>
  <si>
    <t>% of Budget</t>
  </si>
  <si>
    <t>Income</t>
  </si>
  <si>
    <t>Expenses</t>
  </si>
  <si>
    <t>Savings</t>
  </si>
  <si>
    <t>Investments</t>
  </si>
  <si>
    <t>Total</t>
  </si>
  <si>
    <t>📋 Income Tracker</t>
  </si>
  <si>
    <t>Date</t>
  </si>
  <si>
    <t>Source</t>
  </si>
  <si>
    <t>Amount</t>
  </si>
  <si>
    <t>Notes</t>
  </si>
  <si>
    <t>Salary</t>
  </si>
  <si>
    <t>Primary Income</t>
  </si>
  <si>
    <t>Monthly salary</t>
  </si>
  <si>
    <t>Freelance</t>
  </si>
  <si>
    <t>Side Hustle</t>
  </si>
  <si>
    <t>Project X</t>
  </si>
  <si>
    <t>📋 Expense Tracker</t>
  </si>
  <si>
    <t>Description</t>
  </si>
  <si>
    <t>Payment Method</t>
  </si>
  <si>
    <t>Groceries</t>
  </si>
  <si>
    <t>Food</t>
  </si>
  <si>
    <t>Credit Card</t>
  </si>
  <si>
    <t>Weekly shopping</t>
  </si>
  <si>
    <t>Electricity</t>
  </si>
  <si>
    <t>Utilities</t>
  </si>
  <si>
    <t>Direct Debit</t>
  </si>
  <si>
    <t>Monthly bill</t>
  </si>
  <si>
    <t>📋 Savings Tracker</t>
  </si>
  <si>
    <t>Goal</t>
  </si>
  <si>
    <t>Target Amount</t>
  </si>
  <si>
    <t>Current Amount</t>
  </si>
  <si>
    <t>% Complete</t>
  </si>
  <si>
    <t>Emergency Fund</t>
  </si>
  <si>
    <t>📋 Stock Tracker</t>
  </si>
  <si>
    <t>Symbol</t>
  </si>
  <si>
    <t>Company</t>
  </si>
  <si>
    <t>Shares</t>
  </si>
  <si>
    <t>Avg Price</t>
  </si>
  <si>
    <t>Current Price</t>
  </si>
  <si>
    <t>Total Value</t>
  </si>
  <si>
    <t>Gain/Loss</t>
  </si>
  <si>
    <t>% Change</t>
  </si>
  <si>
    <t>AAPL</t>
  </si>
  <si>
    <t>Apple Inc.</t>
  </si>
  <si>
    <t>📋 Weight Tracker</t>
  </si>
  <si>
    <t>Weight (kg)</t>
  </si>
  <si>
    <t>Body Fat %</t>
  </si>
  <si>
    <t>Started new diet</t>
  </si>
  <si>
    <t>Feeling good!</t>
  </si>
  <si>
    <t>📋 Habit Tracker</t>
  </si>
  <si>
    <t>Exercise</t>
  </si>
  <si>
    <t>Water (glasses)</t>
  </si>
  <si>
    <t>Sleep (hours)</t>
  </si>
  <si>
    <t>Meditation</t>
  </si>
  <si>
    <t>Reading</t>
  </si>
  <si>
    <t>✓</t>
  </si>
  <si>
    <t>30 min</t>
  </si>
  <si>
    <t>Good day!</t>
  </si>
  <si>
    <t>45 min</t>
  </si>
  <si>
    <t>Focused</t>
  </si>
  <si>
    <t>📋 Cleaning Checklist</t>
  </si>
  <si>
    <t>Task</t>
  </si>
  <si>
    <t>Frequency</t>
  </si>
  <si>
    <t>Last Done</t>
  </si>
  <si>
    <t>Next Due</t>
  </si>
  <si>
    <t>Status</t>
  </si>
  <si>
    <t>Vacuum</t>
  </si>
  <si>
    <t>Weekly</t>
  </si>
  <si>
    <t>Pending</t>
  </si>
  <si>
    <t>Living room</t>
  </si>
  <si>
    <t>Laundry</t>
  </si>
  <si>
    <t>Bi-weekly</t>
  </si>
  <si>
    <t>Due</t>
  </si>
  <si>
    <t>Bedding</t>
  </si>
  <si>
    <t>📋 Meal Planner</t>
  </si>
  <si>
    <t>Day</t>
  </si>
  <si>
    <t>Breakfast</t>
  </si>
  <si>
    <t>Lunch</t>
  </si>
  <si>
    <t>Dinner</t>
  </si>
  <si>
    <t>Snacks</t>
  </si>
  <si>
    <t>Grocery Items Needed</t>
  </si>
  <si>
    <t>Monday</t>
  </si>
  <si>
    <t>Oatmeal</t>
  </si>
  <si>
    <t>Salad</t>
  </si>
  <si>
    <t>Grilled Chicken</t>
  </si>
  <si>
    <t>Fruits</t>
  </si>
  <si>
    <t>Oats, chicken, greens</t>
  </si>
  <si>
    <t>Tuesday</t>
  </si>
  <si>
    <t>Smoothie</t>
  </si>
  <si>
    <t>Sandwich</t>
  </si>
  <si>
    <t>Pasta</t>
  </si>
  <si>
    <t>Nuts</t>
  </si>
  <si>
    <t>Bread, pasta, vegetables</t>
  </si>
  <si>
    <t>📋 Time Table</t>
  </si>
  <si>
    <t>Time</t>
  </si>
  <si>
    <t>Wednesday</t>
  </si>
  <si>
    <t>Thursday</t>
  </si>
  <si>
    <t>Friday</t>
  </si>
  <si>
    <t>Saturday</t>
  </si>
  <si>
    <t>Sunday</t>
  </si>
  <si>
    <t>09:00 - 10:00</t>
  </si>
  <si>
    <t>Work</t>
  </si>
  <si>
    <t>Sleep in</t>
  </si>
  <si>
    <t>Brunch</t>
  </si>
  <si>
    <t>10:00 - 11:00</t>
  </si>
  <si>
    <t>Meeting</t>
  </si>
  <si>
    <t>Deep Work</t>
  </si>
  <si>
    <t>Family Time</t>
  </si>
  <si>
    <t>🤖 AI-Powered Financial Insights</t>
  </si>
  <si>
    <t>This section provides AI-generated insights based on your data:</t>
  </si>
  <si>
    <t>🔍 To get started:</t>
  </si>
  <si>
    <t>1. Fill in your financial data in the respective sheets</t>
  </si>
  <si>
    <t>2. Click the 'Generate AI Insights' button in the app</t>
  </si>
  <si>
    <t>3. Review personalized recommendations here</t>
  </si>
  <si>
    <t>The AI will analyze your spending patterns, saving habits, and overall financial health to provide actionable advice.</t>
  </si>
  <si>
    <t>💡 Tip: The more data you provide, the more accurate the insights will be!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</si>
</sst>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F42C1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6F42C1"/>
        <bgColor rgb="FF6F42C1"/>
      </patternFill>
    </fill>
    <fill>
      <patternFill patternType="solid">
        <fgColor rgb="FFF2E6FF"/>
        <bgColor rgb="FFF2E6FF"/>
      </patternFill>
    </fill>
    <fill>
      <patternFill patternType="solid">
        <fgColor rgb="FFB0E0E6"/>
        <bgColor rgb="FFB0E0E6"/>
      </patternFill>
    </fill>
    <fill>
      <patternFill patternType="solid">
        <fgColor rgb="FFFFB6C1"/>
        <bgColor rgb="FFFFB6C1"/>
      </patternFill>
    </fill>
    <fill>
      <patternFill patternType="solid">
        <fgColor rgb="FF98FB98"/>
        <bgColor rgb="FF98FB98"/>
      </patternFill>
    </fill>
    <fill>
      <patternFill patternType="solid">
        <fgColor rgb="FFD8BFD8"/>
        <bgColor rgb="FFD8BFD8"/>
      </patternFill>
    </fill>
    <fill>
      <patternFill patternType="solid">
        <fgColor rgb="FFFFDAB9"/>
        <bgColor rgb="FFFFDAB9"/>
      </patternFill>
    </fill>
    <fill>
      <patternFill patternType="solid">
        <fgColor rgb="FFE6E6FA"/>
        <bgColor rgb="FFE6E6FA"/>
      </patternFill>
    </fill>
    <fill>
      <patternFill patternType="solid">
        <fgColor rgb="FFAFEEEE"/>
        <bgColor rgb="FFAFEEEE"/>
      </patternFill>
    </fill>
    <fill>
      <patternFill patternType="solid">
        <fgColor rgb="FFFFD700"/>
        <bgColor rgb="FFFFD700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1" xfId="0" applyFont="1" applyFill="1" applyBorder="1"/>
    <xf numFmtId="164" fontId="0" fillId="0" borderId="1" xfId="0" applyNumberFormat="1" applyBorder="1"/>
    <xf numFmtId="0" fontId="0" fillId="0" borderId="1" xfId="0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3" fillId="1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Planned vs Actual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Planned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Dashboard!$A$4:$A$7</c:f>
              <c:strCache>
                <c:ptCount val="4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  <c:pt idx="3">
                  <c:v>Investments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4"/>
                <c:pt idx="0">
                  <c:v>5000</c:v>
                </c:pt>
                <c:pt idx="1">
                  <c:v>3500</c:v>
                </c:pt>
                <c:pt idx="2">
                  <c:v>1000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6-5041-BC9B-1407D6F53CF5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Dashboard!$A$4:$A$7</c:f>
              <c:strCache>
                <c:ptCount val="4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  <c:pt idx="3">
                  <c:v>Investments</c:v>
                </c:pt>
              </c:strCache>
            </c:strRef>
          </c:cat>
          <c:val>
            <c:numRef>
              <c:f>Dashboard!$C$4:$C$7</c:f>
              <c:numCache>
                <c:formatCode>General</c:formatCode>
                <c:ptCount val="4"/>
                <c:pt idx="0">
                  <c:v>5200</c:v>
                </c:pt>
                <c:pt idx="1">
                  <c:v>3200</c:v>
                </c:pt>
                <c:pt idx="2">
                  <c:v>1200</c:v>
                </c:pt>
                <c:pt idx="3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6-5041-BC9B-1407D6F53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1"/>
    </sheetView>
  </sheetViews>
  <sheetFormatPr baseColWidth="10" defaultColWidth="8.83203125" defaultRowHeight="15" x14ac:dyDescent="0.2"/>
  <sheetData>
    <row r="1" spans="1:10" ht="30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s="1" t="s">
        <v>1</v>
      </c>
    </row>
    <row r="4" spans="1:10" x14ac:dyDescent="0.2">
      <c r="A4" s="2" t="s">
        <v>2</v>
      </c>
    </row>
    <row r="5" spans="1:10" x14ac:dyDescent="0.2">
      <c r="A5" s="2" t="s">
        <v>3</v>
      </c>
    </row>
    <row r="6" spans="1:10" x14ac:dyDescent="0.2">
      <c r="A6" s="2" t="s">
        <v>4</v>
      </c>
    </row>
    <row r="8" spans="1:10" x14ac:dyDescent="0.2">
      <c r="A8" s="1" t="s">
        <v>5</v>
      </c>
    </row>
    <row r="9" spans="1:10" x14ac:dyDescent="0.2">
      <c r="A9" t="s">
        <v>6</v>
      </c>
    </row>
    <row r="10" spans="1:10" x14ac:dyDescent="0.2">
      <c r="A10" t="s">
        <v>7</v>
      </c>
    </row>
    <row r="11" spans="1:10" x14ac:dyDescent="0.2">
      <c r="A11" t="s">
        <v>8</v>
      </c>
    </row>
    <row r="12" spans="1:10" x14ac:dyDescent="0.2">
      <c r="A12" t="s">
        <v>9</v>
      </c>
    </row>
    <row r="13" spans="1:10" x14ac:dyDescent="0.2">
      <c r="A13" t="s">
        <v>10</v>
      </c>
    </row>
    <row r="15" spans="1:10" x14ac:dyDescent="0.2">
      <c r="A15" s="1" t="s">
        <v>11</v>
      </c>
    </row>
    <row r="17" spans="1:1" x14ac:dyDescent="0.2">
      <c r="A17" t="s">
        <v>12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sqref="A1:J1"/>
    </sheetView>
  </sheetViews>
  <sheetFormatPr baseColWidth="10" defaultColWidth="8.83203125" defaultRowHeight="15" x14ac:dyDescent="0.2"/>
  <sheetData>
    <row r="1" spans="1:10" ht="30" customHeight="1" x14ac:dyDescent="0.25">
      <c r="A1" s="15" t="s">
        <v>13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</row>
    <row r="4" spans="1:10" x14ac:dyDescent="0.2">
      <c r="A4" t="s">
        <v>19</v>
      </c>
      <c r="B4">
        <v>5000</v>
      </c>
      <c r="C4">
        <v>5200</v>
      </c>
      <c r="D4">
        <f>C4-B4</f>
        <v>200</v>
      </c>
      <c r="E4">
        <f>C4/SUM(B4:B8)</f>
        <v>0.26</v>
      </c>
    </row>
    <row r="5" spans="1:10" x14ac:dyDescent="0.2">
      <c r="A5" t="s">
        <v>20</v>
      </c>
      <c r="B5">
        <v>3500</v>
      </c>
      <c r="C5">
        <v>3200</v>
      </c>
      <c r="D5">
        <f>C5-B5</f>
        <v>-300</v>
      </c>
      <c r="E5">
        <f>C5/SUM(B4:B8)</f>
        <v>0.16</v>
      </c>
    </row>
    <row r="6" spans="1:10" x14ac:dyDescent="0.2">
      <c r="A6" t="s">
        <v>21</v>
      </c>
      <c r="B6">
        <v>1000</v>
      </c>
      <c r="C6">
        <v>1200</v>
      </c>
      <c r="D6">
        <f>C6-B6</f>
        <v>200</v>
      </c>
      <c r="E6">
        <f>C6/SUM(B4:B8)</f>
        <v>0.06</v>
      </c>
    </row>
    <row r="7" spans="1:10" x14ac:dyDescent="0.2">
      <c r="A7" t="s">
        <v>22</v>
      </c>
      <c r="B7">
        <v>500</v>
      </c>
      <c r="C7">
        <v>550</v>
      </c>
      <c r="D7">
        <f>C7-B7</f>
        <v>50</v>
      </c>
      <c r="E7">
        <f>C7/SUM(B4:B8)</f>
        <v>2.75E-2</v>
      </c>
    </row>
    <row r="8" spans="1:10" x14ac:dyDescent="0.2">
      <c r="A8" t="s">
        <v>23</v>
      </c>
      <c r="B8">
        <f>SUM(B4:B7)</f>
        <v>10000</v>
      </c>
      <c r="C8">
        <f>SUM(C4:C7)</f>
        <v>10150</v>
      </c>
      <c r="D8">
        <f>C8-B8</f>
        <v>150</v>
      </c>
      <c r="E8">
        <f>C8/SUM(B4:B8)</f>
        <v>0.50749999999999995</v>
      </c>
    </row>
  </sheetData>
  <mergeCells count="1">
    <mergeCell ref="A1:J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sqref="A1:J1"/>
    </sheetView>
  </sheetViews>
  <sheetFormatPr baseColWidth="10" defaultColWidth="8.83203125" defaultRowHeight="15" x14ac:dyDescent="0.2"/>
  <cols>
    <col min="1" max="1" width="21.6640625" customWidth="1"/>
    <col min="2" max="2" width="8.5" customWidth="1"/>
    <col min="3" max="3" width="7.5" bestFit="1" customWidth="1"/>
    <col min="4" max="4" width="13.1640625" bestFit="1" customWidth="1"/>
    <col min="5" max="5" width="12.33203125" bestFit="1" customWidth="1"/>
  </cols>
  <sheetData>
    <row r="1" spans="1:10" ht="30" customHeight="1" x14ac:dyDescent="0.25">
      <c r="A1" s="17" t="s">
        <v>24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s="4" t="s">
        <v>25</v>
      </c>
      <c r="B3" s="4" t="s">
        <v>26</v>
      </c>
      <c r="C3" s="4" t="s">
        <v>27</v>
      </c>
      <c r="D3" s="4" t="s">
        <v>14</v>
      </c>
      <c r="E3" s="4" t="s">
        <v>28</v>
      </c>
    </row>
    <row r="4" spans="1:10" x14ac:dyDescent="0.2">
      <c r="A4" s="5">
        <v>45955</v>
      </c>
      <c r="B4" s="6" t="s">
        <v>29</v>
      </c>
      <c r="C4" s="6">
        <v>3000</v>
      </c>
      <c r="D4" s="6" t="s">
        <v>30</v>
      </c>
      <c r="E4" s="6" t="s">
        <v>31</v>
      </c>
    </row>
    <row r="5" spans="1:10" x14ac:dyDescent="0.2">
      <c r="A5" s="5">
        <v>45945</v>
      </c>
      <c r="B5" s="6" t="s">
        <v>32</v>
      </c>
      <c r="C5" s="6">
        <v>1000</v>
      </c>
      <c r="D5" s="6" t="s">
        <v>33</v>
      </c>
      <c r="E5" s="6" t="s">
        <v>34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sqref="A1:J1"/>
    </sheetView>
  </sheetViews>
  <sheetFormatPr baseColWidth="10" defaultColWidth="8.83203125" defaultRowHeight="15" x14ac:dyDescent="0.2"/>
  <cols>
    <col min="1" max="1" width="22.83203125" customWidth="1"/>
  </cols>
  <sheetData>
    <row r="1" spans="1:10" ht="30" customHeight="1" x14ac:dyDescent="0.25">
      <c r="A1" s="18" t="s">
        <v>35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s="7" t="s">
        <v>25</v>
      </c>
      <c r="B3" s="7" t="s">
        <v>36</v>
      </c>
      <c r="C3" s="7" t="s">
        <v>27</v>
      </c>
      <c r="D3" s="7" t="s">
        <v>14</v>
      </c>
      <c r="E3" s="7" t="s">
        <v>37</v>
      </c>
      <c r="F3" s="7" t="s">
        <v>28</v>
      </c>
    </row>
    <row r="4" spans="1:10" x14ac:dyDescent="0.2">
      <c r="A4" s="5">
        <v>45955</v>
      </c>
      <c r="B4" s="6" t="s">
        <v>38</v>
      </c>
      <c r="C4" s="6">
        <v>150</v>
      </c>
      <c r="D4" s="6" t="s">
        <v>39</v>
      </c>
      <c r="E4" s="6" t="s">
        <v>40</v>
      </c>
      <c r="F4" s="6" t="s">
        <v>41</v>
      </c>
    </row>
    <row r="5" spans="1:10" x14ac:dyDescent="0.2">
      <c r="A5" s="5">
        <v>45955</v>
      </c>
      <c r="B5" s="6" t="s">
        <v>42</v>
      </c>
      <c r="C5" s="6">
        <v>80</v>
      </c>
      <c r="D5" s="6" t="s">
        <v>43</v>
      </c>
      <c r="E5" s="6" t="s">
        <v>44</v>
      </c>
      <c r="F5" s="6" t="s">
        <v>45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selection sqref="A1:J1"/>
    </sheetView>
  </sheetViews>
  <sheetFormatPr baseColWidth="10" defaultColWidth="8.83203125" defaultRowHeight="15" x14ac:dyDescent="0.2"/>
  <cols>
    <col min="1" max="1" width="22.83203125" customWidth="1"/>
    <col min="5" max="5" width="10.5" bestFit="1" customWidth="1"/>
  </cols>
  <sheetData>
    <row r="1" spans="1:10" ht="30" customHeight="1" x14ac:dyDescent="0.25">
      <c r="A1" s="19" t="s">
        <v>46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s="8" t="s">
        <v>25</v>
      </c>
      <c r="B3" s="8" t="s">
        <v>47</v>
      </c>
      <c r="C3" s="8" t="s">
        <v>48</v>
      </c>
      <c r="D3" s="8" t="s">
        <v>49</v>
      </c>
      <c r="E3" s="8" t="s">
        <v>50</v>
      </c>
    </row>
    <row r="4" spans="1:10" x14ac:dyDescent="0.2">
      <c r="A4" s="5">
        <v>45955</v>
      </c>
      <c r="B4" s="6" t="s">
        <v>51</v>
      </c>
      <c r="C4" s="6">
        <v>10000</v>
      </c>
      <c r="D4" s="6">
        <v>3500</v>
      </c>
      <c r="E4" s="6" t="e">
        <f>D2/C2</f>
        <v>#DIV/0!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tabSelected="1" workbookViewId="0">
      <selection activeCell="H5" sqref="H5"/>
    </sheetView>
  </sheetViews>
  <sheetFormatPr baseColWidth="10" defaultColWidth="8.83203125" defaultRowHeight="15" x14ac:dyDescent="0.2"/>
  <cols>
    <col min="1" max="1" width="20.33203125" customWidth="1"/>
    <col min="5" max="5" width="11.5" bestFit="1" customWidth="1"/>
    <col min="8" max="8" width="8.5" bestFit="1" customWidth="1"/>
  </cols>
  <sheetData>
    <row r="1" spans="1:10" ht="30" customHeight="1" x14ac:dyDescent="0.25">
      <c r="A1" s="20" t="s">
        <v>52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58</v>
      </c>
      <c r="G3" s="9" t="s">
        <v>59</v>
      </c>
      <c r="H3" s="9" t="s">
        <v>60</v>
      </c>
    </row>
    <row r="4" spans="1:10" x14ac:dyDescent="0.2">
      <c r="A4" s="6" t="s">
        <v>61</v>
      </c>
      <c r="B4" s="6" t="s">
        <v>62</v>
      </c>
      <c r="C4" s="6">
        <v>10</v>
      </c>
      <c r="D4" s="6">
        <v>150</v>
      </c>
      <c r="E4" s="6">
        <v>175</v>
      </c>
      <c r="F4" s="6">
        <f>C4*E4</f>
        <v>1750</v>
      </c>
      <c r="G4" s="6">
        <f>F4-(C4*D4)</f>
        <v>250</v>
      </c>
      <c r="H4" s="6">
        <f>(E4-D4)/D4</f>
        <v>0.16666666666666666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21.6640625" customWidth="1"/>
    <col min="2" max="2" width="9.83203125" bestFit="1" customWidth="1"/>
    <col min="4" max="4" width="13.5" bestFit="1" customWidth="1"/>
  </cols>
  <sheetData>
    <row r="1" spans="1:10" ht="30" customHeight="1" x14ac:dyDescent="0.25">
      <c r="A1" s="21" t="s">
        <v>63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s="10" t="s">
        <v>25</v>
      </c>
      <c r="B3" s="10" t="s">
        <v>64</v>
      </c>
      <c r="C3" s="10" t="s">
        <v>65</v>
      </c>
      <c r="D3" s="10" t="s">
        <v>28</v>
      </c>
    </row>
    <row r="4" spans="1:10" x14ac:dyDescent="0.2">
      <c r="A4" s="5">
        <v>45948</v>
      </c>
      <c r="B4" s="6">
        <v>75.5</v>
      </c>
      <c r="C4" s="6">
        <v>22</v>
      </c>
      <c r="D4" s="6" t="s">
        <v>66</v>
      </c>
    </row>
    <row r="5" spans="1:10" x14ac:dyDescent="0.2">
      <c r="A5" s="5">
        <v>45955</v>
      </c>
      <c r="B5" s="6">
        <v>74.8</v>
      </c>
      <c r="C5" s="6">
        <v>21.5</v>
      </c>
      <c r="D5" s="6" t="s">
        <v>67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>
      <selection sqref="A1:J1"/>
    </sheetView>
  </sheetViews>
  <sheetFormatPr baseColWidth="10" defaultColWidth="8.83203125" defaultRowHeight="15" x14ac:dyDescent="0.2"/>
  <cols>
    <col min="1" max="1" width="20.33203125" customWidth="1"/>
  </cols>
  <sheetData>
    <row r="1" spans="1:10" ht="30" customHeight="1" x14ac:dyDescent="0.25">
      <c r="A1" s="22" t="s">
        <v>68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s="11" t="s">
        <v>25</v>
      </c>
      <c r="B3" s="11" t="s">
        <v>69</v>
      </c>
      <c r="C3" s="11" t="s">
        <v>70</v>
      </c>
      <c r="D3" s="11" t="s">
        <v>71</v>
      </c>
      <c r="E3" s="11" t="s">
        <v>72</v>
      </c>
      <c r="F3" s="11" t="s">
        <v>73</v>
      </c>
      <c r="G3" s="11" t="s">
        <v>28</v>
      </c>
    </row>
    <row r="4" spans="1:10" x14ac:dyDescent="0.2">
      <c r="A4" s="5">
        <v>45954</v>
      </c>
      <c r="B4" s="6" t="s">
        <v>74</v>
      </c>
      <c r="C4" s="6">
        <v>8</v>
      </c>
      <c r="D4" s="6">
        <v>7.5</v>
      </c>
      <c r="E4" s="6" t="s">
        <v>74</v>
      </c>
      <c r="F4" s="6" t="s">
        <v>75</v>
      </c>
      <c r="G4" s="6" t="s">
        <v>76</v>
      </c>
    </row>
    <row r="5" spans="1:10" x14ac:dyDescent="0.2">
      <c r="A5" s="5">
        <v>45955</v>
      </c>
      <c r="B5" s="6" t="s">
        <v>74</v>
      </c>
      <c r="C5" s="6">
        <v>7</v>
      </c>
      <c r="D5" s="6">
        <v>8</v>
      </c>
      <c r="E5" s="6" t="s">
        <v>74</v>
      </c>
      <c r="F5" s="6" t="s">
        <v>77</v>
      </c>
      <c r="G5" s="6" t="s">
        <v>78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selection sqref="A1:J1"/>
    </sheetView>
  </sheetViews>
  <sheetFormatPr baseColWidth="10" defaultColWidth="8.83203125" defaultRowHeight="15" x14ac:dyDescent="0.2"/>
  <cols>
    <col min="1" max="1" width="26.33203125" customWidth="1"/>
  </cols>
  <sheetData>
    <row r="1" spans="1:10" ht="30" customHeight="1" x14ac:dyDescent="0.25">
      <c r="A1" s="23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s="12" t="s">
        <v>80</v>
      </c>
      <c r="B3" s="12" t="s">
        <v>81</v>
      </c>
      <c r="C3" s="12" t="s">
        <v>82</v>
      </c>
      <c r="D3" s="12" t="s">
        <v>83</v>
      </c>
      <c r="E3" s="12" t="s">
        <v>84</v>
      </c>
      <c r="F3" s="12" t="s">
        <v>28</v>
      </c>
    </row>
    <row r="4" spans="1:10" x14ac:dyDescent="0.2">
      <c r="A4" s="6" t="s">
        <v>85</v>
      </c>
      <c r="B4" s="6" t="s">
        <v>86</v>
      </c>
      <c r="C4" s="5">
        <v>45952</v>
      </c>
      <c r="D4" s="5">
        <v>45959</v>
      </c>
      <c r="E4" s="6" t="s">
        <v>87</v>
      </c>
      <c r="F4" s="6" t="s">
        <v>88</v>
      </c>
    </row>
    <row r="5" spans="1:10" x14ac:dyDescent="0.2">
      <c r="A5" s="6" t="s">
        <v>89</v>
      </c>
      <c r="B5" s="6" t="s">
        <v>90</v>
      </c>
      <c r="C5" s="5">
        <v>45949</v>
      </c>
      <c r="D5" s="5">
        <v>45956</v>
      </c>
      <c r="E5" s="6" t="s">
        <v>91</v>
      </c>
      <c r="F5" s="6" t="s">
        <v>92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>
      <selection sqref="A1:J1"/>
    </sheetView>
  </sheetViews>
  <sheetFormatPr baseColWidth="10" defaultColWidth="8.83203125" defaultRowHeight="15" x14ac:dyDescent="0.2"/>
  <cols>
    <col min="1" max="1" width="19.1640625" customWidth="1"/>
  </cols>
  <sheetData>
    <row r="1" spans="1:10" ht="30" customHeight="1" x14ac:dyDescent="0.25">
      <c r="A1" s="24" t="s">
        <v>93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s="13" t="s">
        <v>94</v>
      </c>
      <c r="B3" s="13" t="s">
        <v>95</v>
      </c>
      <c r="C3" s="13" t="s">
        <v>96</v>
      </c>
      <c r="D3" s="13" t="s">
        <v>97</v>
      </c>
      <c r="E3" s="13" t="s">
        <v>98</v>
      </c>
      <c r="F3" s="13" t="s">
        <v>99</v>
      </c>
    </row>
    <row r="4" spans="1:10" x14ac:dyDescent="0.2">
      <c r="A4" s="6" t="s">
        <v>100</v>
      </c>
      <c r="B4" s="6" t="s">
        <v>101</v>
      </c>
      <c r="C4" s="6" t="s">
        <v>102</v>
      </c>
      <c r="D4" s="6" t="s">
        <v>103</v>
      </c>
      <c r="E4" s="6" t="s">
        <v>104</v>
      </c>
      <c r="F4" s="6" t="s">
        <v>105</v>
      </c>
    </row>
    <row r="5" spans="1:10" x14ac:dyDescent="0.2">
      <c r="A5" s="6" t="s">
        <v>106</v>
      </c>
      <c r="B5" s="6" t="s">
        <v>107</v>
      </c>
      <c r="C5" s="6" t="s">
        <v>108</v>
      </c>
      <c r="D5" s="6" t="s">
        <v>109</v>
      </c>
      <c r="E5" s="6" t="s">
        <v>110</v>
      </c>
      <c r="F5" s="6" t="s">
        <v>111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selection sqref="A1:J1"/>
    </sheetView>
  </sheetViews>
  <sheetFormatPr baseColWidth="10" defaultColWidth="8.83203125" defaultRowHeight="15" x14ac:dyDescent="0.2"/>
  <cols>
    <col min="1" max="1" width="18" customWidth="1"/>
  </cols>
  <sheetData>
    <row r="1" spans="1:10" ht="30" customHeight="1" x14ac:dyDescent="0.25">
      <c r="A1" s="25" t="s">
        <v>112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s="14" t="s">
        <v>113</v>
      </c>
      <c r="B3" s="14" t="s">
        <v>100</v>
      </c>
      <c r="C3" s="14" t="s">
        <v>106</v>
      </c>
      <c r="D3" s="14" t="s">
        <v>114</v>
      </c>
      <c r="E3" s="14" t="s">
        <v>115</v>
      </c>
      <c r="F3" s="14" t="s">
        <v>116</v>
      </c>
      <c r="G3" s="14" t="s">
        <v>117</v>
      </c>
      <c r="H3" s="14" t="s">
        <v>118</v>
      </c>
    </row>
    <row r="4" spans="1:10" x14ac:dyDescent="0.2">
      <c r="A4" s="6" t="s">
        <v>119</v>
      </c>
      <c r="B4" s="6" t="s">
        <v>120</v>
      </c>
      <c r="C4" s="6" t="s">
        <v>120</v>
      </c>
      <c r="D4" s="6" t="s">
        <v>120</v>
      </c>
      <c r="E4" s="6" t="s">
        <v>120</v>
      </c>
      <c r="F4" s="6" t="s">
        <v>120</v>
      </c>
      <c r="G4" s="6" t="s">
        <v>121</v>
      </c>
      <c r="H4" s="6" t="s">
        <v>122</v>
      </c>
    </row>
    <row r="5" spans="1:10" x14ac:dyDescent="0.2">
      <c r="A5" s="6" t="s">
        <v>123</v>
      </c>
      <c r="B5" s="6" t="s">
        <v>124</v>
      </c>
      <c r="C5" s="6" t="s">
        <v>125</v>
      </c>
      <c r="D5" s="6" t="s">
        <v>124</v>
      </c>
      <c r="E5" s="6" t="s">
        <v>125</v>
      </c>
      <c r="F5" s="6" t="s">
        <v>124</v>
      </c>
      <c r="G5" s="6" t="s">
        <v>69</v>
      </c>
      <c r="H5" s="6" t="s">
        <v>126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2"/>
  <sheetViews>
    <sheetView workbookViewId="0">
      <selection sqref="A1:J1"/>
    </sheetView>
  </sheetViews>
  <sheetFormatPr baseColWidth="10" defaultColWidth="8.83203125" defaultRowHeight="15" x14ac:dyDescent="0.2"/>
  <sheetData>
    <row r="1" spans="1:10" ht="30" customHeight="1" x14ac:dyDescent="0.25">
      <c r="A1" s="15" t="s">
        <v>127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0" customHeight="1" x14ac:dyDescent="0.2"/>
    <row r="3" spans="1:10" x14ac:dyDescent="0.2">
      <c r="A3" t="s">
        <v>128</v>
      </c>
    </row>
    <row r="5" spans="1:10" x14ac:dyDescent="0.2">
      <c r="A5" s="1" t="s">
        <v>129</v>
      </c>
    </row>
    <row r="6" spans="1:10" x14ac:dyDescent="0.2">
      <c r="A6" t="s">
        <v>130</v>
      </c>
    </row>
    <row r="7" spans="1:10" x14ac:dyDescent="0.2">
      <c r="A7" t="s">
        <v>131</v>
      </c>
    </row>
    <row r="8" spans="1:10" x14ac:dyDescent="0.2">
      <c r="A8" t="s">
        <v>132</v>
      </c>
    </row>
    <row r="10" spans="1:10" x14ac:dyDescent="0.2">
      <c r="A10" t="s">
        <v>133</v>
      </c>
    </row>
    <row r="12" spans="1:10" x14ac:dyDescent="0.2">
      <c r="A12" s="1" t="s">
        <v>134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Welcome Guide</vt:lpstr>
      <vt:lpstr>Dashboard</vt:lpstr>
      <vt:lpstr>Income Tracker</vt:lpstr>
      <vt:lpstr>Expense Tracker</vt:lpstr>
      <vt:lpstr>Savings Tracker</vt:lpstr>
      <vt:lpstr>Stock Tracker</vt:lpstr>
      <vt:lpstr>Weight Tracker</vt:lpstr>
      <vt:lpstr>Habit Tracker</vt:lpstr>
      <vt:lpstr>Cleaning Checklist</vt:lpstr>
      <vt:lpstr>Meal Planner</vt:lpstr>
      <vt:lpstr>Time Table</vt:lpstr>
      <vt:lpstr>AI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Gathukia 2024 (N1292714)</cp:lastModifiedBy>
  <dcterms:created xsi:type="dcterms:W3CDTF">2025-10-25T16:22:14Z</dcterms:created>
  <dcterms:modified xsi:type="dcterms:W3CDTF">2025-10-25T22:56:24Z</dcterms:modified>
</cp:coreProperties>
</file>